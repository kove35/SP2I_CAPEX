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offrey\Documents\SKETCHUP\PROJET CENTRE MEDICAL3\BUSINESS PLAN\Business plan\Devis\DQE\DQE_Phase1_02\"/>
    </mc:Choice>
  </mc:AlternateContent>
  <xr:revisionPtr revIDLastSave="0" documentId="13_ncr:1_{F8479B74-7381-4495-9D45-19860CA2CB81}" xr6:coauthVersionLast="47" xr6:coauthVersionMax="47" xr10:uidLastSave="{00000000-0000-0000-0000-000000000000}"/>
  <bookViews>
    <workbookView xWindow="-28920" yWindow="-120" windowWidth="29040" windowHeight="15840" tabRatio="751" firstSheet="1" activeTab="9" xr2:uid="{00000000-000D-0000-FFFF-FFFF00000000}"/>
  </bookViews>
  <sheets>
    <sheet name="Page de garde" sheetId="1" r:id="rId1"/>
    <sheet name="SOMMAIRE" sheetId="2" r:id="rId2"/>
    <sheet name="RÉCAP " sheetId="33" r:id="rId3"/>
    <sheet name="Lot 1" sheetId="29" r:id="rId4"/>
    <sheet name="Lot 2" sheetId="6" r:id="rId5"/>
    <sheet name="Lot 3" sheetId="7" r:id="rId6"/>
    <sheet name="Lot 4" sheetId="27" r:id="rId7"/>
    <sheet name="Lot 5" sheetId="9" r:id="rId8"/>
    <sheet name="Lot 6" sheetId="10" r:id="rId9"/>
    <sheet name="Lot 7" sheetId="12" r:id="rId10"/>
    <sheet name="Lot 8" sheetId="30" r:id="rId11"/>
    <sheet name="Lot 9" sheetId="14" r:id="rId12"/>
    <sheet name="Lot 10" sheetId="15" r:id="rId13"/>
    <sheet name="Lot 11" sheetId="31" r:id="rId14"/>
    <sheet name="Lot 12" sheetId="18" r:id="rId15"/>
    <sheet name="Lot 13" sheetId="19" r:id="rId16"/>
    <sheet name="Lot 14" sheetId="20" r:id="rId17"/>
    <sheet name="Lot 15" sheetId="21" r:id="rId18"/>
    <sheet name="Lot 16" sheetId="22" r:id="rId19"/>
    <sheet name="Lot 17" sheetId="23" r:id="rId20"/>
    <sheet name="Lot 18" sheetId="24" r:id="rId21"/>
    <sheet name="Lot 19" sheetId="25" r:id="rId22"/>
    <sheet name="RÉCAP LOCAL vs CHINE" sheetId="26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29" l="1"/>
  <c r="F73" i="12"/>
  <c r="F65" i="12"/>
  <c r="F24" i="12"/>
  <c r="F27" i="12"/>
  <c r="F39" i="12"/>
  <c r="F70" i="12"/>
  <c r="F75" i="12"/>
  <c r="F70" i="29"/>
  <c r="F69" i="29"/>
  <c r="F60" i="29"/>
  <c r="F59" i="29"/>
  <c r="F73" i="29" s="1"/>
  <c r="B21" i="2" l="1"/>
  <c r="B20" i="2"/>
  <c r="B19" i="2"/>
  <c r="B13" i="2"/>
  <c r="B12" i="2"/>
  <c r="B11" i="2"/>
  <c r="B10" i="2"/>
  <c r="B9" i="2"/>
  <c r="B8" i="2"/>
  <c r="B4" i="2"/>
  <c r="B5" i="2"/>
  <c r="B6" i="2"/>
  <c r="B7" i="2"/>
  <c r="B4" i="33"/>
  <c r="B20" i="33"/>
  <c r="B14" i="33"/>
  <c r="B13" i="33"/>
  <c r="B12" i="33"/>
  <c r="B11" i="33"/>
  <c r="B10" i="33"/>
  <c r="B9" i="33"/>
  <c r="B7" i="33"/>
  <c r="B22" i="33"/>
  <c r="B21" i="33"/>
  <c r="B19" i="33"/>
  <c r="B18" i="33"/>
  <c r="B17" i="33"/>
  <c r="B16" i="33"/>
  <c r="B15" i="33"/>
  <c r="B8" i="33"/>
  <c r="B6" i="33"/>
  <c r="D8" i="33" a="1"/>
  <c r="D7" i="33" a="1"/>
  <c r="D7" i="33" l="1"/>
  <c r="D8" i="33"/>
  <c r="B5" i="33"/>
  <c r="H81" i="27"/>
  <c r="F86" i="27"/>
  <c r="I77" i="27"/>
  <c r="I78" i="27"/>
  <c r="I79" i="27"/>
  <c r="I80" i="27"/>
  <c r="I76" i="27"/>
  <c r="I70" i="27"/>
  <c r="I71" i="27"/>
  <c r="I72" i="27"/>
  <c r="I73" i="27"/>
  <c r="I69" i="27"/>
  <c r="I62" i="27"/>
  <c r="I63" i="27"/>
  <c r="I64" i="27"/>
  <c r="I61" i="27"/>
  <c r="I51" i="27"/>
  <c r="I52" i="27"/>
  <c r="I53" i="27"/>
  <c r="I54" i="27"/>
  <c r="I55" i="27"/>
  <c r="I56" i="27"/>
  <c r="I50" i="27"/>
  <c r="I40" i="27"/>
  <c r="I41" i="27"/>
  <c r="I42" i="27"/>
  <c r="I43" i="27"/>
  <c r="I44" i="27"/>
  <c r="I45" i="27"/>
  <c r="I39" i="27"/>
  <c r="I28" i="27"/>
  <c r="I29" i="27"/>
  <c r="I30" i="27"/>
  <c r="I31" i="27"/>
  <c r="I32" i="27"/>
  <c r="I33" i="27"/>
  <c r="I34" i="27"/>
  <c r="I27" i="27"/>
  <c r="I16" i="27"/>
  <c r="I17" i="27"/>
  <c r="I18" i="27"/>
  <c r="I19" i="27"/>
  <c r="I20" i="27"/>
  <c r="I21" i="27"/>
  <c r="I22" i="27"/>
  <c r="I15" i="27"/>
  <c r="F17" i="30" l="1"/>
  <c r="I13" i="30"/>
  <c r="I12" i="30"/>
  <c r="I11" i="30"/>
  <c r="I10" i="30"/>
  <c r="H18" i="7"/>
  <c r="H14" i="7"/>
  <c r="H13" i="7"/>
  <c r="F19" i="7"/>
  <c r="F18" i="7"/>
  <c r="F14" i="7"/>
  <c r="F13" i="7"/>
  <c r="H71" i="12"/>
  <c r="H72" i="12" s="1"/>
  <c r="F71" i="12"/>
  <c r="F72" i="12" s="1"/>
  <c r="H69" i="12"/>
  <c r="I69" i="12" s="1"/>
  <c r="H68" i="12"/>
  <c r="I68" i="12" s="1"/>
  <c r="H67" i="12"/>
  <c r="H70" i="12" s="1"/>
  <c r="I66" i="12"/>
  <c r="H66" i="12"/>
  <c r="H64" i="12"/>
  <c r="I64" i="12" s="1"/>
  <c r="H63" i="12"/>
  <c r="I63" i="12" s="1"/>
  <c r="H62" i="12"/>
  <c r="I62" i="12" s="1"/>
  <c r="H61" i="12"/>
  <c r="I61" i="12" s="1"/>
  <c r="H60" i="12"/>
  <c r="I59" i="12"/>
  <c r="H59" i="12"/>
  <c r="H58" i="12"/>
  <c r="I58" i="12" s="1"/>
  <c r="H57" i="12"/>
  <c r="I57" i="12" s="1"/>
  <c r="H56" i="12"/>
  <c r="I56" i="12" s="1"/>
  <c r="H55" i="12"/>
  <c r="I55" i="12" s="1"/>
  <c r="H54" i="12"/>
  <c r="H53" i="12"/>
  <c r="I53" i="12" s="1"/>
  <c r="H52" i="12"/>
  <c r="I52" i="12" s="1"/>
  <c r="H51" i="12"/>
  <c r="I51" i="12" s="1"/>
  <c r="H50" i="12"/>
  <c r="I50" i="12" s="1"/>
  <c r="I49" i="12"/>
  <c r="H49" i="12"/>
  <c r="H48" i="12"/>
  <c r="I48" i="12" s="1"/>
  <c r="H47" i="12"/>
  <c r="I47" i="12" s="1"/>
  <c r="H46" i="12"/>
  <c r="I46" i="12" s="1"/>
  <c r="H45" i="12"/>
  <c r="I45" i="12" s="1"/>
  <c r="H44" i="12"/>
  <c r="I44" i="12" s="1"/>
  <c r="H43" i="12"/>
  <c r="I43" i="12" s="1"/>
  <c r="H42" i="12"/>
  <c r="I42" i="12" s="1"/>
  <c r="H41" i="12"/>
  <c r="I41" i="12" s="1"/>
  <c r="H40" i="12"/>
  <c r="H38" i="12"/>
  <c r="I38" i="12" s="1"/>
  <c r="H37" i="12"/>
  <c r="I37" i="12" s="1"/>
  <c r="H36" i="12"/>
  <c r="I36" i="12" s="1"/>
  <c r="H35" i="12"/>
  <c r="I35" i="12" s="1"/>
  <c r="H34" i="12"/>
  <c r="I34" i="12" s="1"/>
  <c r="H33" i="12"/>
  <c r="I33" i="12" s="1"/>
  <c r="H32" i="12"/>
  <c r="I32" i="12" s="1"/>
  <c r="H31" i="12"/>
  <c r="I31" i="12" s="1"/>
  <c r="H30" i="12"/>
  <c r="I30" i="12" s="1"/>
  <c r="H29" i="12"/>
  <c r="H28" i="12"/>
  <c r="I28" i="12" s="1"/>
  <c r="H26" i="12"/>
  <c r="I26" i="12" s="1"/>
  <c r="H25" i="12"/>
  <c r="H23" i="12"/>
  <c r="I23" i="12" s="1"/>
  <c r="H22" i="12"/>
  <c r="I22" i="12" s="1"/>
  <c r="H21" i="12"/>
  <c r="I21" i="12" s="1"/>
  <c r="H20" i="12"/>
  <c r="I20" i="12" s="1"/>
  <c r="H19" i="12"/>
  <c r="I19" i="12" s="1"/>
  <c r="H18" i="12"/>
  <c r="I18" i="12" s="1"/>
  <c r="H17" i="12"/>
  <c r="I17" i="12" s="1"/>
  <c r="H16" i="12"/>
  <c r="I16" i="12" s="1"/>
  <c r="H15" i="12"/>
  <c r="H14" i="12"/>
  <c r="I14" i="12" s="1"/>
  <c r="H13" i="12"/>
  <c r="I13" i="12" s="1"/>
  <c r="D11" i="33" a="1"/>
  <c r="D18" i="33" a="1"/>
  <c r="D14" i="33" a="1"/>
  <c r="D22" i="33" a="1"/>
  <c r="D17" i="33" a="1"/>
  <c r="D15" i="33" a="1"/>
  <c r="D9" i="33" a="1"/>
  <c r="D6" i="33" a="1"/>
  <c r="D5" i="33" a="1"/>
  <c r="D16" i="33" a="1"/>
  <c r="D12" i="33" a="1"/>
  <c r="D20" i="33" a="1"/>
  <c r="D10" i="33" a="1"/>
  <c r="D15" i="33" l="1"/>
  <c r="D14" i="33"/>
  <c r="D16" i="33"/>
  <c r="D5" i="33"/>
  <c r="D6" i="33"/>
  <c r="D9" i="33"/>
  <c r="D17" i="33"/>
  <c r="D18" i="33"/>
  <c r="D20" i="33"/>
  <c r="D10" i="33"/>
  <c r="D12" i="33"/>
  <c r="D22" i="33"/>
  <c r="D11" i="33"/>
  <c r="H24" i="12"/>
  <c r="G27" i="12" s="1"/>
  <c r="H65" i="12"/>
  <c r="I65" i="12" s="1"/>
  <c r="G39" i="12"/>
  <c r="G65" i="12"/>
  <c r="I54" i="12"/>
  <c r="G70" i="12"/>
  <c r="H27" i="12"/>
  <c r="I27" i="12" s="1"/>
  <c r="I70" i="12"/>
  <c r="I72" i="12"/>
  <c r="I67" i="12"/>
  <c r="I29" i="12"/>
  <c r="G24" i="12"/>
  <c r="I15" i="12"/>
  <c r="I60" i="12"/>
  <c r="H39" i="12"/>
  <c r="I39" i="12" s="1"/>
  <c r="I25" i="12"/>
  <c r="I40" i="12"/>
  <c r="I24" i="12"/>
  <c r="I71" i="12"/>
  <c r="F15" i="7"/>
  <c r="F19" i="29"/>
  <c r="G17" i="15"/>
  <c r="G58" i="15"/>
  <c r="G57" i="15"/>
  <c r="E58" i="15"/>
  <c r="E57" i="15"/>
  <c r="E59" i="15" s="1"/>
  <c r="G53" i="15"/>
  <c r="G52" i="15"/>
  <c r="F55" i="15" s="1"/>
  <c r="E53" i="15"/>
  <c r="E52" i="15"/>
  <c r="H57" i="15" s="1"/>
  <c r="G48" i="15"/>
  <c r="F49" i="15" s="1"/>
  <c r="E48" i="15"/>
  <c r="G41" i="15"/>
  <c r="G42" i="15"/>
  <c r="E42" i="15"/>
  <c r="E41" i="15"/>
  <c r="G45" i="15"/>
  <c r="E45" i="15"/>
  <c r="G44" i="15"/>
  <c r="E44" i="15"/>
  <c r="G43" i="15"/>
  <c r="E43" i="15"/>
  <c r="G33" i="15"/>
  <c r="E33" i="15"/>
  <c r="E34" i="15"/>
  <c r="G34" i="15"/>
  <c r="G36" i="15"/>
  <c r="E36" i="15"/>
  <c r="G35" i="15"/>
  <c r="E35" i="15"/>
  <c r="G29" i="15"/>
  <c r="E29" i="15"/>
  <c r="G28" i="15"/>
  <c r="E28" i="15"/>
  <c r="G27" i="15"/>
  <c r="E27" i="15"/>
  <c r="G26" i="15"/>
  <c r="E26" i="15"/>
  <c r="G25" i="15"/>
  <c r="E25" i="15"/>
  <c r="G24" i="15"/>
  <c r="E24" i="15"/>
  <c r="G23" i="15"/>
  <c r="E23" i="15"/>
  <c r="G22" i="15"/>
  <c r="E22" i="15"/>
  <c r="G21" i="15"/>
  <c r="E21" i="15"/>
  <c r="G20" i="15"/>
  <c r="E20" i="15"/>
  <c r="G19" i="15"/>
  <c r="E19" i="15"/>
  <c r="G18" i="15"/>
  <c r="E18" i="15"/>
  <c r="E17" i="15"/>
  <c r="G16" i="15"/>
  <c r="E16" i="15"/>
  <c r="G15" i="15"/>
  <c r="E15" i="15"/>
  <c r="G14" i="15"/>
  <c r="E14" i="15"/>
  <c r="G13" i="15"/>
  <c r="E13" i="15"/>
  <c r="G12" i="15"/>
  <c r="E12" i="15"/>
  <c r="F19" i="31"/>
  <c r="H18" i="31"/>
  <c r="H15" i="31"/>
  <c r="F18" i="31"/>
  <c r="F18" i="20"/>
  <c r="H12" i="20"/>
  <c r="F12" i="20"/>
  <c r="I12" i="20" s="1"/>
  <c r="H11" i="20"/>
  <c r="F11" i="20"/>
  <c r="I11" i="20" s="1"/>
  <c r="F19" i="21"/>
  <c r="H17" i="21"/>
  <c r="F17" i="21"/>
  <c r="F81" i="27"/>
  <c r="H80" i="27"/>
  <c r="H79" i="27"/>
  <c r="H78" i="27"/>
  <c r="H77" i="27"/>
  <c r="H76" i="27"/>
  <c r="F74" i="27"/>
  <c r="H73" i="27"/>
  <c r="H72" i="27"/>
  <c r="H71" i="27"/>
  <c r="H70" i="27"/>
  <c r="H69" i="27"/>
  <c r="H63" i="27"/>
  <c r="H62" i="27"/>
  <c r="H61" i="27"/>
  <c r="H58" i="27"/>
  <c r="I58" i="27" s="1"/>
  <c r="F56" i="27"/>
  <c r="H55" i="27"/>
  <c r="H54" i="27"/>
  <c r="H53" i="27"/>
  <c r="H52" i="27"/>
  <c r="H51" i="27"/>
  <c r="H50" i="27"/>
  <c r="F45" i="27"/>
  <c r="H44" i="27"/>
  <c r="H43" i="27"/>
  <c r="H42" i="27"/>
  <c r="H41" i="27"/>
  <c r="H40" i="27"/>
  <c r="H39" i="27"/>
  <c r="F34" i="27"/>
  <c r="H33" i="27"/>
  <c r="H32" i="27"/>
  <c r="H31" i="27"/>
  <c r="H30" i="27"/>
  <c r="H29" i="27"/>
  <c r="H28" i="27"/>
  <c r="H27" i="27"/>
  <c r="F24" i="27"/>
  <c r="D24" i="27"/>
  <c r="D34" i="27" s="1"/>
  <c r="D45" i="27" s="1"/>
  <c r="H22" i="27"/>
  <c r="H21" i="27"/>
  <c r="H20" i="27"/>
  <c r="H19" i="27"/>
  <c r="H18" i="27"/>
  <c r="H17" i="27"/>
  <c r="H16" i="27"/>
  <c r="H15" i="27"/>
  <c r="G30" i="15" l="1"/>
  <c r="E30" i="15" s="1"/>
  <c r="H58" i="15"/>
  <c r="G59" i="15"/>
  <c r="F59" i="15" s="1"/>
  <c r="H48" i="15"/>
  <c r="H53" i="15"/>
  <c r="H52" i="15"/>
  <c r="H44" i="15"/>
  <c r="H41" i="15"/>
  <c r="H36" i="15"/>
  <c r="H45" i="15"/>
  <c r="H35" i="15"/>
  <c r="H19" i="15"/>
  <c r="H13" i="15"/>
  <c r="F46" i="15"/>
  <c r="G38" i="15"/>
  <c r="F39" i="15" s="1"/>
  <c r="H43" i="15"/>
  <c r="H29" i="15"/>
  <c r="H16" i="15"/>
  <c r="H42" i="15"/>
  <c r="H34" i="15"/>
  <c r="E38" i="15"/>
  <c r="H33" i="15"/>
  <c r="H28" i="15"/>
  <c r="H25" i="15"/>
  <c r="H26" i="15"/>
  <c r="H21" i="15"/>
  <c r="H22" i="15"/>
  <c r="H23" i="15"/>
  <c r="H17" i="15"/>
  <c r="H14" i="15"/>
  <c r="H15" i="15"/>
  <c r="H24" i="15"/>
  <c r="H20" i="15"/>
  <c r="H18" i="15"/>
  <c r="H27" i="15"/>
  <c r="H12" i="15"/>
  <c r="H74" i="27"/>
  <c r="G83" i="27"/>
  <c r="H34" i="27"/>
  <c r="F35" i="27"/>
  <c r="H45" i="27"/>
  <c r="G46" i="27" s="1"/>
  <c r="H56" i="27"/>
  <c r="G65" i="27" s="1"/>
  <c r="H24" i="27"/>
  <c r="F62" i="15" l="1"/>
  <c r="H59" i="15"/>
  <c r="H30" i="15"/>
  <c r="G36" i="27"/>
  <c r="D13" i="33" a="1"/>
  <c r="D13" i="33" l="1"/>
  <c r="F15" i="31" l="1"/>
  <c r="F54" i="29"/>
  <c r="F53" i="29"/>
  <c r="F44" i="29"/>
  <c r="F43" i="29"/>
  <c r="F39" i="29"/>
  <c r="F25" i="29"/>
  <c r="F15" i="25"/>
  <c r="F11" i="25"/>
  <c r="F57" i="29" l="1"/>
  <c r="F75" i="29" l="1"/>
  <c r="F20" i="7"/>
  <c r="F22" i="7" s="1"/>
  <c r="I18" i="6"/>
  <c r="H18" i="6"/>
  <c r="F18" i="6"/>
  <c r="F11" i="23"/>
  <c r="F13" i="23" s="1"/>
  <c r="F13" i="22"/>
  <c r="F17" i="22" s="1"/>
  <c r="F12" i="22"/>
  <c r="F11" i="22"/>
  <c r="F10" i="22"/>
  <c r="F16" i="21"/>
  <c r="F16" i="19"/>
  <c r="F15" i="19"/>
  <c r="F10" i="18"/>
  <c r="F16" i="14"/>
  <c r="F13" i="14"/>
  <c r="F12" i="14"/>
  <c r="F16" i="9"/>
  <c r="F11" i="9"/>
  <c r="F10" i="9"/>
  <c r="B18" i="2"/>
  <c r="B17" i="2"/>
  <c r="B16" i="2"/>
  <c r="B15" i="2"/>
  <c r="B14" i="2"/>
  <c r="B3" i="2"/>
  <c r="D4" i="33" a="1"/>
  <c r="D4" i="33" l="1"/>
  <c r="D26" i="3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<sst xmlns="http://schemas.openxmlformats.org/spreadsheetml/2006/main" count="1093" uniqueCount="559">
  <si>
    <t>Rennes le 31/10/2025</t>
  </si>
  <si>
    <t>DQE – Pointe-Noire Medical Center</t>
  </si>
  <si>
    <t>Document confidentiel – usage interne</t>
  </si>
  <si>
    <t>SOMMAIRE DQE – Pointe-Noire Medical Center</t>
  </si>
  <si>
    <t>Lot 1 – Terrassement &amp; Gros Œuvre</t>
  </si>
  <si>
    <t>Lot 5 – Menuserie métallique et ferronnerie</t>
  </si>
  <si>
    <t>Lot 6 – Menuserie bois</t>
  </si>
  <si>
    <t>Lot 10 – Plomberie / Sanitaires</t>
  </si>
  <si>
    <t>Lot</t>
  </si>
  <si>
    <t>Prestataire</t>
  </si>
  <si>
    <t>Total TTC (FCFA)</t>
  </si>
  <si>
    <t>Observation</t>
  </si>
  <si>
    <t>Lot 1</t>
  </si>
  <si>
    <t>Andres CONSTRUCTION</t>
  </si>
  <si>
    <t>Lot 2</t>
  </si>
  <si>
    <t>Terrasse batiment annexe et batiment principal</t>
  </si>
  <si>
    <t>Lot 3</t>
  </si>
  <si>
    <t>Lot 4</t>
  </si>
  <si>
    <t>Z .Alu</t>
  </si>
  <si>
    <t>Lot 5</t>
  </si>
  <si>
    <t>CONSTRUCT</t>
  </si>
  <si>
    <t>Lot 6</t>
  </si>
  <si>
    <t>CRUZEL. M – SERVICES</t>
  </si>
  <si>
    <t>Lot 8</t>
  </si>
  <si>
    <t>Lot 9</t>
  </si>
  <si>
    <t>Lot 10</t>
  </si>
  <si>
    <t xml:space="preserve">D.I.P SERVICE  </t>
  </si>
  <si>
    <t>En attente de confirmation</t>
  </si>
  <si>
    <t>Lot 11</t>
  </si>
  <si>
    <t>Lot 12</t>
  </si>
  <si>
    <t>Lot 13</t>
  </si>
  <si>
    <t>Lot 14</t>
  </si>
  <si>
    <t>Lot 15</t>
  </si>
  <si>
    <t>Lot 16</t>
  </si>
  <si>
    <t>Lot 17</t>
  </si>
  <si>
    <t>Lot 18</t>
  </si>
  <si>
    <t>Lot 19</t>
  </si>
  <si>
    <t>TOTAL GÉNÉRAL TTC</t>
  </si>
  <si>
    <t>N°</t>
  </si>
  <si>
    <t>Désignation</t>
  </si>
  <si>
    <t>Unité</t>
  </si>
  <si>
    <t>Quantité</t>
  </si>
  <si>
    <t>PU Local (FCFA)</t>
  </si>
  <si>
    <t>Total Local (FCFA)</t>
  </si>
  <si>
    <t>PU Chine (FCFA)</t>
  </si>
  <si>
    <t>Total Chine (FCFA)</t>
  </si>
  <si>
    <t>Gain (Local – Chine)</t>
  </si>
  <si>
    <t>⚠ Note</t>
  </si>
  <si>
    <t xml:space="preserve"> </t>
  </si>
  <si>
    <t>A – INSTALLATION GÉNÉRALE DU CHANTIER</t>
  </si>
  <si>
    <t>1.1</t>
  </si>
  <si>
    <t>Mobilisation du personnel et du matériel</t>
  </si>
  <si>
    <t>Ens</t>
  </si>
  <si>
    <t>1.2</t>
  </si>
  <si>
    <t>Clôture provisoire du chantier en tôles</t>
  </si>
  <si>
    <t>1.3</t>
  </si>
  <si>
    <t>Consommation en eau et électricité du chantier</t>
  </si>
  <si>
    <t>MOA</t>
  </si>
  <si>
    <t>1.4</t>
  </si>
  <si>
    <t>m²</t>
  </si>
  <si>
    <t>1.5</t>
  </si>
  <si>
    <t>Gardiennage et HSE du chantier</t>
  </si>
  <si>
    <t>1.6</t>
  </si>
  <si>
    <t>Études techniques et essais (tests de conformité)</t>
  </si>
  <si>
    <t>Sous-total A</t>
  </si>
  <si>
    <t>B – DÉMOLITION</t>
  </si>
  <si>
    <t>1.7</t>
  </si>
  <si>
    <t>Démolition des murs et de l’escalier (RDC)</t>
  </si>
  <si>
    <t>FF</t>
  </si>
  <si>
    <t>1.8</t>
  </si>
  <si>
    <t>Évacuation des gravats hors site</t>
  </si>
  <si>
    <t>1.9</t>
  </si>
  <si>
    <t>Décapage carreaux sol existant (RDC)</t>
  </si>
  <si>
    <t>Sous-total B</t>
  </si>
  <si>
    <t>m³</t>
  </si>
  <si>
    <t>kg</t>
  </si>
  <si>
    <t>1.20</t>
  </si>
  <si>
    <t>Dallage sol (Bâtiment principal) – Béton</t>
  </si>
  <si>
    <t>1.21</t>
  </si>
  <si>
    <t>Dallage sol (Bâtiment principal) – Coffrage</t>
  </si>
  <si>
    <t>1.22</t>
  </si>
  <si>
    <t>Dallage sol (Bâtiment principal) – Acier</t>
  </si>
  <si>
    <t>1.23</t>
  </si>
  <si>
    <t>Maçonnerie de soubassement agglos pleins 20×20×50</t>
  </si>
  <si>
    <t>1.24</t>
  </si>
  <si>
    <t>Dallage sol (Bâtiment annexe) – Béton</t>
  </si>
  <si>
    <t>1.25</t>
  </si>
  <si>
    <t>Dallage sol (Bâtiment annexe) – Coffrage</t>
  </si>
  <si>
    <t>1.26</t>
  </si>
  <si>
    <t>Dallage sol (Bâtiment annexe) – Acier</t>
  </si>
  <si>
    <t>D – ÉLÉVATION RDC</t>
  </si>
  <si>
    <t>1.34</t>
  </si>
  <si>
    <t>1.35</t>
  </si>
  <si>
    <t>1.36</t>
  </si>
  <si>
    <t>Enduits sous plafond</t>
  </si>
  <si>
    <t>1.37</t>
  </si>
  <si>
    <t>Réservations et calfeutrements divers</t>
  </si>
  <si>
    <t>1.38</t>
  </si>
  <si>
    <t>Scellements et raccordements</t>
  </si>
  <si>
    <t>1.39</t>
  </si>
  <si>
    <t>Marches d’accès – Béton 350</t>
  </si>
  <si>
    <t>1.40</t>
  </si>
  <si>
    <t>Marches d’accès – Coffrage</t>
  </si>
  <si>
    <t>1.41</t>
  </si>
  <si>
    <t>Linteaux (annexe) – Béton 400</t>
  </si>
  <si>
    <t>1.42</t>
  </si>
  <si>
    <t>Linteaux (annexe) – Coffrage</t>
  </si>
  <si>
    <t>1.43</t>
  </si>
  <si>
    <t>Linteaux (annexe) – Acier</t>
  </si>
  <si>
    <t>1.44</t>
  </si>
  <si>
    <t>1.45</t>
  </si>
  <si>
    <t>1.46</t>
  </si>
  <si>
    <t>Enduits sous plafond annexe</t>
  </si>
  <si>
    <t>1.47</t>
  </si>
  <si>
    <t>Finition des tableaux</t>
  </si>
  <si>
    <t>Sous-total D</t>
  </si>
  <si>
    <t>TOTAL LOT 1 TTC (Devis ANDRÉS)</t>
  </si>
  <si>
    <t>Validation :</t>
  </si>
  <si>
    <t>Soumissionnaire : ______________________  Cachet __________  Date ___/___/2025</t>
  </si>
  <si>
    <t>Maître d’Ouvrage : ____________________  Cachet __________  Date ___/___/2025</t>
  </si>
  <si>
    <t>DQE - Pointe Noire Medical Center – Document confidentiel – Version interne</t>
  </si>
  <si>
    <t>PU TTC (FCFA)</t>
  </si>
  <si>
    <t>LOT 2 – Etancheité (TTC)</t>
  </si>
  <si>
    <t>Note</t>
  </si>
  <si>
    <t>Nettoyage des surfaces et réparation des fissures sur les surfaces</t>
  </si>
  <si>
    <t>A – Bâtiment Principal</t>
  </si>
  <si>
    <t>2.1</t>
  </si>
  <si>
    <t>Fourniture et application d’étanchéité à 2 composants (type ADEPROOF) – Bâtiment Principal (500 m²) – Beijing Oriental Yuhong Waterproof Technology Co., Ltd.</t>
  </si>
  <si>
    <t>https://oriental-yuhong.en.made-in-china.com/</t>
  </si>
  <si>
    <t>B – Bâtiment Annexe</t>
  </si>
  <si>
    <t>2.2</t>
  </si>
  <si>
    <t>Fourniture et application d’étanchéité à 2 composants (type ADEPROOF) – Bâtiment Annexe (200 m²) – Beijing Oriental Yuhong Waterproof Technology Co., Ltd.</t>
  </si>
  <si>
    <t>TOTAL LOT 2 :</t>
  </si>
  <si>
    <t>LOT 3 – Revêtements sols &amp; murs (TTC)</t>
  </si>
  <si>
    <t>A – Revêtements sols &amp; murs BÂTIMENT PRINCIPAL</t>
  </si>
  <si>
    <t>3.1</t>
  </si>
  <si>
    <t>Sol PVC homogène hospitalier ISO 10581, classe 43, 2 mm – Fournisseur : Taizhou Huali New Materials</t>
  </si>
  <si>
    <t>https://hualifloor.en.made-in-china.com/product/UxWnJEpKbNkL/China-2mm-Homogeneous-Vinyl-Flooring-Hospital-PVC-Flooring.html</t>
  </si>
  <si>
    <t>3.2</t>
  </si>
  <si>
    <t>Plinthes PVC soudées 10 cm – Fournisseur : Taizhou Huali New Materials</t>
  </si>
  <si>
    <t>ml</t>
  </si>
  <si>
    <t>B – BÂTIMENT ANNEXE</t>
  </si>
  <si>
    <t>3.3</t>
  </si>
  <si>
    <t>Carrelage grès cérame imitation marbre 60×60 – Fournisseur : Foshan Hanse Ceramic</t>
  </si>
  <si>
    <t>https://www.hanseceramictile.com/products/600x1200mm-marble-porcelain-tiles</t>
  </si>
  <si>
    <t>3.4</t>
  </si>
  <si>
    <t>Plinthes assorties – Fourniture &amp; pose</t>
  </si>
  <si>
    <t>TOTAL LOT 3 TTC (Devis ANDRÉS)</t>
  </si>
  <si>
    <t>6.7</t>
  </si>
  <si>
    <t>DESIGNATION – L – H – M2 – PRIX/M2 – PRIX UINT – QTY – PRIX TOTAL</t>
  </si>
  <si>
    <t>6.8</t>
  </si>
  <si>
    <t>6.9</t>
  </si>
  <si>
    <t>6.10</t>
  </si>
  <si>
    <t>6.11</t>
  </si>
  <si>
    <t>6.12</t>
  </si>
  <si>
    <t>Route de Tchimbamba en face du Colisée Téléphone : 06 416 55 55/01 519 99 99</t>
  </si>
  <si>
    <t>Centre des Impôts : MPAKA     NIU : P21000000122533F GREDIT DU CONGO :00014 90000249014 /84</t>
  </si>
  <si>
    <t>Lot 5 – MENUISERIE MÉTALLIQUE ET FERRONNERIE (TTC)</t>
  </si>
  <si>
    <t>Porte métallique du local GE</t>
  </si>
  <si>
    <t>U</t>
  </si>
  <si>
    <t>Grille de protection du local GE</t>
  </si>
  <si>
    <t>TOTAL Lot 5 TTC</t>
  </si>
  <si>
    <t>TOTAL Lot 6 TTC</t>
  </si>
  <si>
    <t>Conversion : HT × 1,189 (TVA 18 % + 0,9 %)</t>
  </si>
  <si>
    <t>Applique sanitaire PC+Int</t>
  </si>
  <si>
    <t>Câble U1000R2V 1x95mm² V/J</t>
  </si>
  <si>
    <t>Gaine tête de lit</t>
  </si>
  <si>
    <t>7.48</t>
  </si>
  <si>
    <t>E - ONDULEURS</t>
  </si>
  <si>
    <t>LOT 7 – Électricité – DQE (Quantités DQE + Prix ÉLECTRA)</t>
  </si>
  <si>
    <t>Module photovaltaîque 300Wc/ 24V</t>
  </si>
  <si>
    <t>Batterie gel 200 AH / 12V</t>
  </si>
  <si>
    <t>Onduleur hybrid 12 KVA / 48 VDC</t>
  </si>
  <si>
    <t>Accessoires, raccordement, essai et mise en service</t>
  </si>
  <si>
    <t>Forfait</t>
  </si>
  <si>
    <t>LOT 8 – Climatisation (TTC)</t>
  </si>
  <si>
    <t>LOT 9 – Sécurité incendie (TTC)</t>
  </si>
  <si>
    <t>DETECTEUR AUTO DE FUMEE 9V LITHIUM</t>
  </si>
  <si>
    <t>CABLE SECURITE INCENDIE CR1-C1 2X 1.5mm²</t>
  </si>
  <si>
    <t>TOTAL LOT 9 TTC</t>
  </si>
  <si>
    <t>LOT 10 : PLOMBERIE SANITAIRE</t>
  </si>
  <si>
    <t>A</t>
  </si>
  <si>
    <t>APPAREILS SANITAIRES</t>
  </si>
  <si>
    <t>WC à l'anglaise</t>
  </si>
  <si>
    <t>Porte-savon</t>
  </si>
  <si>
    <t>B</t>
  </si>
  <si>
    <t>RÉSEAUX D'ÉVACUATION EAUX USÉES/VANNES</t>
  </si>
  <si>
    <t>C</t>
  </si>
  <si>
    <t>RÉSEAU DISTRIBUTION EAU POTABLE (PPR)</t>
  </si>
  <si>
    <t>Coude PPR Ø25</t>
  </si>
  <si>
    <t>Manchon PPR Ø32</t>
  </si>
  <si>
    <t>Té PPR Ø25</t>
  </si>
  <si>
    <t>Sous Total C</t>
  </si>
  <si>
    <t>D</t>
  </si>
  <si>
    <t>RÉSEAU D'ÉVACUATION EAUX PLUVIALES</t>
  </si>
  <si>
    <t>PVC Ø110</t>
  </si>
  <si>
    <t>Sous Total D</t>
  </si>
  <si>
    <t>E</t>
  </si>
  <si>
    <t>STATION DE SURPRESSION</t>
  </si>
  <si>
    <t>F</t>
  </si>
  <si>
    <t>AUTRES PLOMBERIE</t>
  </si>
  <si>
    <t>Sous Total F</t>
  </si>
  <si>
    <t>TOTAL LOT 10 TTC</t>
  </si>
  <si>
    <t>Lot 11 : Faux plafonds (plafond acoustique du type ‘’ARMSTRONG’’)</t>
  </si>
  <si>
    <t>Faux plafonds &amp; Cloisons</t>
  </si>
  <si>
    <t>TOTAL LOT 11 TTC</t>
  </si>
  <si>
    <t>Lot 12 – Ascenseur (TTC)</t>
  </si>
  <si>
    <t>ASCENSEUR 630 KG (08 personnes)</t>
  </si>
  <si>
    <t>Ascenseur de 630 kg, 4 arrêts, vitesse de 1 m/s etc</t>
  </si>
  <si>
    <t>TOTAL LOT 12 TTC</t>
  </si>
  <si>
    <t>LOT 13 – BARDAGE ALUCOBOND (TTC) – Format DQE</t>
  </si>
  <si>
    <t>6.1</t>
  </si>
  <si>
    <t>6.2</t>
  </si>
  <si>
    <t>6.3</t>
  </si>
  <si>
    <t>6.4</t>
  </si>
  <si>
    <t>6.5</t>
  </si>
  <si>
    <t>6.6</t>
  </si>
  <si>
    <t>ALUCOBOND AVEC STRUCTURE ET MONTAGE</t>
  </si>
  <si>
    <t>m2</t>
  </si>
  <si>
    <t>_</t>
  </si>
  <si>
    <t>TOTAL LOT 13 TTC (Devis ANDRÉS)</t>
  </si>
  <si>
    <t>Lot 14 – Peinture (TTC)</t>
  </si>
  <si>
    <t>Peinture intérieur sur murs (option plafond acoustique)</t>
  </si>
  <si>
    <t>Peinture intérieur sur murs et plafonds (Placo-platre)</t>
  </si>
  <si>
    <t>Lot 15 – VIDÉO SURVEILLANCE (TTC)</t>
  </si>
  <si>
    <t>Caméra intérieure dôme</t>
  </si>
  <si>
    <t>Serveur NVR</t>
  </si>
  <si>
    <t>Câblage &amp; accessoires divers</t>
  </si>
  <si>
    <t>TOTAL Lot 15 TTC</t>
  </si>
  <si>
    <t>Lot 16 – CENTRALE SOLAIRE (TTC)</t>
  </si>
  <si>
    <t>7.57</t>
  </si>
  <si>
    <t>7.58</t>
  </si>
  <si>
    <t>7.59</t>
  </si>
  <si>
    <t>7.60</t>
  </si>
  <si>
    <t>TOTAL Lot 16 TTC</t>
  </si>
  <si>
    <t>Lot 17 - Groupe eléctrogène</t>
  </si>
  <si>
    <t>TOTAL LOT 17 TTC</t>
  </si>
  <si>
    <t>Lot 18 - VMC (VENTILATION MÉCANIQUE)</t>
  </si>
  <si>
    <t>Lot 19 - ISOLATION THERMIQUE FAÇADE EXTÉRIEURE</t>
  </si>
  <si>
    <t>Description</t>
  </si>
  <si>
    <t>Gain (%)</t>
  </si>
  <si>
    <t>Gros œuvre / Phase 1</t>
  </si>
  <si>
    <t>Lot 2 A</t>
  </si>
  <si>
    <t>Étanchéité – Bâtiment Principal</t>
  </si>
  <si>
    <t>Lot 2 B</t>
  </si>
  <si>
    <t>Étanchéité – Bâtiment Annexe</t>
  </si>
  <si>
    <t>Lot 3 A</t>
  </si>
  <si>
    <t>Revêtements – Bâtiment Principal</t>
  </si>
  <si>
    <t>Lot 3 B</t>
  </si>
  <si>
    <t>Revêtements – Bâtiment Annexe</t>
  </si>
  <si>
    <t>Dim (m)</t>
  </si>
  <si>
    <t>Qté</t>
  </si>
  <si>
    <t>PU Local</t>
  </si>
  <si>
    <t>Total Local</t>
  </si>
  <si>
    <t>PU Chine</t>
  </si>
  <si>
    <t>Total Chine</t>
  </si>
  <si>
    <t>Spécification</t>
  </si>
  <si>
    <t>A – Bâtiment principal RDC</t>
  </si>
  <si>
    <t>Menuiserie aluminium standard, profil 1,4–1,8 mm, vitrage clair – visuel : https://www.alwindows.com/products.html</t>
  </si>
  <si>
    <t>Grande baie fixe façade entrée (nouvelle) – double vitrage de sécurité 44.2/16/6 avec store intégré</t>
  </si>
  <si>
    <t>4.00×2.40</t>
  </si>
  <si>
    <t>Baie fixe 4,00×2,40 m, double vitrage de sécurité 44.2/16/6 avec store vénitien intégré – visuel : https://www.alwindows.com/product/insulated-glass-with-built-in-blinds.html</t>
  </si>
  <si>
    <t>Baie fixe secondaire</t>
  </si>
  <si>
    <t>2.42×2.20</t>
  </si>
  <si>
    <t>Fenêtre coulissante (réduite)</t>
  </si>
  <si>
    <t>2.00×1.20</t>
  </si>
  <si>
    <t>Baie ou fenêtre coulissante aluminium 2 à 3 vantaux, vitrage clair – visuel : https://www.alwindows.com/product/aluminium-sliding-window.html</t>
  </si>
  <si>
    <t>Fenêtre bandeau RDC</t>
  </si>
  <si>
    <t>3.60×0.90</t>
  </si>
  <si>
    <t>Fenêtre bandeau horizontale à ouvrants coulissants – visuel : https://www.alwindows.com/product/slim-aluminium-window.html</t>
  </si>
  <si>
    <t>Fenêtre coulissante</t>
  </si>
  <si>
    <t>1.40×1.20</t>
  </si>
  <si>
    <t>1.60×1.20</t>
  </si>
  <si>
    <t>1.00×1.20</t>
  </si>
  <si>
    <t>0.60×0.60</t>
  </si>
  <si>
    <t>Porte double battant double vitrage</t>
  </si>
  <si>
    <t>2.45×2.20</t>
  </si>
  <si>
    <t>Porte aluminium vitrée ou pleine, serrure 3 points – visuel : https://derryaluminum.en.alibaba.com/productlist.html?spm=a2700.shop_pl.88.20</t>
  </si>
  <si>
    <t>1.50×2.20</t>
  </si>
  <si>
    <t>Porte double battant simple vitrage</t>
  </si>
  <si>
    <t>1.20×2.20</t>
  </si>
  <si>
    <t>Porte simple</t>
  </si>
  <si>
    <t>0.90×2.20</t>
  </si>
  <si>
    <t>0.80×2.20</t>
  </si>
  <si>
    <t>Porte anti-panique acier + barre</t>
  </si>
  <si>
    <t>Porte coupe-feu EI60 double vantaux</t>
  </si>
  <si>
    <t>1.60×2.20</t>
  </si>
  <si>
    <t>Porte coupe-feu EI60 avec oculus vitré – visuel : https://www.laportedeservice.com/porte-coupe-feu-bois/342-bloc-porte-2-vantaux-coupe-feu-ei60-das.html</t>
  </si>
  <si>
    <t>Sous-total A – Bâtiment principal RDC</t>
  </si>
  <si>
    <t>B – Bâtiment annexe</t>
  </si>
  <si>
    <t>Fenêtre coulissante annexe</t>
  </si>
  <si>
    <t>1.20×1.20</t>
  </si>
  <si>
    <t>0.80×1.20</t>
  </si>
  <si>
    <t>Porte double battant annexe</t>
  </si>
  <si>
    <t>Porte simple annexe</t>
  </si>
  <si>
    <t>Sous-total B – Bâtiment annexe</t>
  </si>
  <si>
    <t>C – Bâtiment principal R+1</t>
  </si>
  <si>
    <t>Baie vitrée alu étage 1 - 120×120</t>
  </si>
  <si>
    <t>Baie vitrée alu étage 1 - 298×300 (≈3.00×3.00)</t>
  </si>
  <si>
    <t>2.98×3.00</t>
  </si>
  <si>
    <t>Baie vitrée alu étage 1 - 180×220</t>
  </si>
  <si>
    <t>1.80×2.20</t>
  </si>
  <si>
    <t>Baie vitrée alu étage 1 - 120×160</t>
  </si>
  <si>
    <t>1.20×1.60</t>
  </si>
  <si>
    <t>Baie vitrée alu étage 1 - 100×120</t>
  </si>
  <si>
    <t>Baie vitrée alu étage 1 - 60×60</t>
  </si>
  <si>
    <t>Garde-corps aluminium étage 1</t>
  </si>
  <si>
    <t>-</t>
  </si>
  <si>
    <t>Garde-corps aluminium avec remplissage vitrage ou barreaudage – visuel : https://www.alwindows.com/product/aluminium-balcony-railing.html</t>
  </si>
  <si>
    <t>Porte-fenêtre alu étage 1 - 220×250</t>
  </si>
  <si>
    <t>2.20×2.50</t>
  </si>
  <si>
    <t>Fenêtre aluminium à ouvrant battant, vitrage clair – visuel : https://www.alwindows.com/product/aluminium-casement-window.html</t>
  </si>
  <si>
    <t>Porte-fenêtre alu étage 1 - 220×90</t>
  </si>
  <si>
    <t>2.20×0.90</t>
  </si>
  <si>
    <t>Porte-fenêtre alu étage 1 - 220×80</t>
  </si>
  <si>
    <t>2.20×0.80</t>
  </si>
  <si>
    <t>Sous-total C – Bâtiment principal R+1</t>
  </si>
  <si>
    <t>D – Bâtiment principal R+2</t>
  </si>
  <si>
    <t>Baie vitrée alu étage 2 - 150×120</t>
  </si>
  <si>
    <t>1.50×1.20</t>
  </si>
  <si>
    <t>Baie vitrée alu étage 2 - 120×160</t>
  </si>
  <si>
    <t>Baie vitrée alu étage 2 - 100×120</t>
  </si>
  <si>
    <t>Baie vitrée alu étage 2 - 60×60</t>
  </si>
  <si>
    <t>Garde-corps aluminium étage 2</t>
  </si>
  <si>
    <t>Porte-fenêtre alu étage 2 - 220×250</t>
  </si>
  <si>
    <t>Porte-fenêtre alu étage 2 - 220×150</t>
  </si>
  <si>
    <t>2.20×1.50</t>
  </si>
  <si>
    <t>Porte-fenêtre alu étage 2 - 220×120</t>
  </si>
  <si>
    <t>2.20×1.20</t>
  </si>
  <si>
    <t>Porte-fenêtre alu étage 2 - 220×90</t>
  </si>
  <si>
    <t>Porte-fenêtre alu étage 2 - 220×80</t>
  </si>
  <si>
    <t>Sous-total D – Bâtiment principal R+2</t>
  </si>
  <si>
    <t>A-1 Baie vitrées et fenêtres</t>
  </si>
  <si>
    <t>A-2 Portes</t>
  </si>
  <si>
    <t>BAIES VITRÉES (fixe et coulissante)</t>
  </si>
  <si>
    <t>PORTES EN ALU</t>
  </si>
  <si>
    <t>B-2 Garde-corps alu</t>
  </si>
  <si>
    <t>PU Congo (FCFA)</t>
  </si>
  <si>
    <t>Total Congo (FCFA)</t>
  </si>
  <si>
    <t>Interrupteur simple allumage</t>
  </si>
  <si>
    <t>Interrupteur va et vient</t>
  </si>
  <si>
    <t>Bouton poussoir avec témoin</t>
  </si>
  <si>
    <t>Détecteur de présence</t>
  </si>
  <si>
    <t>Prise courant mosaïque blanc</t>
  </si>
  <si>
    <t>Prise courant mosaïque rouge</t>
  </si>
  <si>
    <t>Prise TV</t>
  </si>
  <si>
    <t>Prise courant étanche</t>
  </si>
  <si>
    <t>Câble U1000R2V 3G1,5mm²</t>
  </si>
  <si>
    <t>Câble U1000R2V 3G2,5mm²</t>
  </si>
  <si>
    <t>Câble U1000R2V 3G6mm²</t>
  </si>
  <si>
    <t>Câble U1000R2V 5G10mm²</t>
  </si>
  <si>
    <t>Câble U1000R2V 5G25mm²</t>
  </si>
  <si>
    <t>Câble U1000R2V 1x120mm²</t>
  </si>
  <si>
    <t>Chemin câble 300x50x3000</t>
  </si>
  <si>
    <t>Chemin câble 200x50x3000</t>
  </si>
  <si>
    <t>Chemin câble 100x50x3000</t>
  </si>
  <si>
    <t>Boîtier carré Batibox</t>
  </si>
  <si>
    <t>Boîte dérivation 105x105</t>
  </si>
  <si>
    <t>Boîte dérivation 180x110</t>
  </si>
  <si>
    <t>Onduleur 30KVA Online</t>
  </si>
  <si>
    <t>Autonomie 15min</t>
  </si>
  <si>
    <t>SOUS-TOTAL E</t>
  </si>
  <si>
    <t>TGBT précâblé</t>
  </si>
  <si>
    <t>TGDO précâblé</t>
  </si>
  <si>
    <t>Table distribution ondulé</t>
  </si>
  <si>
    <t>F &amp; P Système "ROCKWOOL" d'isolation thermo-acoustique épaisseur 10cm en laine
de roche depuis l'extérieur, avec densité 70 kg/m³ et conductivité thermique 0,042
W/(mK)</t>
  </si>
  <si>
    <t>ACCESSOIRES DE MONTAGE (2000 m²)</t>
  </si>
  <si>
    <t>Cloisons intérieures bât. principal en placo</t>
  </si>
  <si>
    <t>Enduits / faïence sur cloisons placo bât. principal</t>
  </si>
  <si>
    <t>Cloisons intérieures annexe en placo</t>
  </si>
  <si>
    <t>Enduits / faïence sur cloisons placo annexe</t>
  </si>
  <si>
    <t xml:space="preserve">Achat Nacelle 400kg 22m neuve(remplaçant la location del’échafaudage </t>
  </si>
  <si>
    <t>Gain (FCFA)</t>
  </si>
  <si>
    <t>Climatiseur SPLIT 1.25CV Whirlpool AMD024</t>
  </si>
  <si>
    <t>Climatiseur SPLIT 5KW Whirlpool AMD026</t>
  </si>
  <si>
    <t>Climatiseur SPLIT 7KW Whirlpool AMD027</t>
  </si>
  <si>
    <t>Hotte aspirante Whirlpool AKR439</t>
  </si>
  <si>
    <t>Liaisons frigorifiques + isolation</t>
  </si>
  <si>
    <t>Tuyauterie PVC condensats / VMC</t>
  </si>
  <si>
    <t>Faux plafond acoustique ARMSTRONG</t>
  </si>
  <si>
    <t>GROUPE ELECT. PAO 75 KVA INSON (achat cChine)</t>
  </si>
  <si>
    <t>PU Chine Opti</t>
  </si>
  <si>
    <t>Total Chine Opti</t>
  </si>
  <si>
    <t>Gain</t>
  </si>
  <si>
    <t>Sous total local</t>
  </si>
  <si>
    <t>LOT 4 – MENUISERIE ALUMINIUM (TTC)  CHINE</t>
  </si>
  <si>
    <t>TOTAL LOT CHINE OPTI</t>
  </si>
  <si>
    <t>RDC batiment principal + tout le batiment annexe</t>
  </si>
  <si>
    <t>Les deux batiments</t>
  </si>
  <si>
    <t>RDC batiment principal + tout le batiment annexe:Remplacement des agglos par du placo ,et la nacelle remplace l'echafaudage</t>
  </si>
  <si>
    <t>Batîment principal</t>
  </si>
  <si>
    <t>Caméra extérieure (protégée)</t>
  </si>
  <si>
    <t>749280 (68.8%)</t>
  </si>
  <si>
    <t>796250 (71.0%)</t>
  </si>
  <si>
    <t>782500 (71.6%)</t>
  </si>
  <si>
    <t>Moniteur LCD 24″</t>
  </si>
  <si>
    <t>119000 (64.7%)</t>
  </si>
  <si>
    <t>365000 (63.5%)</t>
  </si>
  <si>
    <t>A1</t>
  </si>
  <si>
    <t>A2</t>
  </si>
  <si>
    <t>Receveur douche</t>
  </si>
  <si>
    <t>A3</t>
  </si>
  <si>
    <t>Lavabo simple</t>
  </si>
  <si>
    <t>A4</t>
  </si>
  <si>
    <t>Evier simple</t>
  </si>
  <si>
    <t>A5</t>
  </si>
  <si>
    <t>Evier double</t>
  </si>
  <si>
    <t>A6</t>
  </si>
  <si>
    <t>Cabine douche</t>
  </si>
  <si>
    <t>A7</t>
  </si>
  <si>
    <t>Siphon 50x75</t>
  </si>
  <si>
    <t>A8</t>
  </si>
  <si>
    <t>Porte-papier</t>
  </si>
  <si>
    <t>A9</t>
  </si>
  <si>
    <t>A10</t>
  </si>
  <si>
    <t>Porte-balai</t>
  </si>
  <si>
    <t>A11</t>
  </si>
  <si>
    <t>Vanne arrêt</t>
  </si>
  <si>
    <t>A12</t>
  </si>
  <si>
    <t>Bac à laver</t>
  </si>
  <si>
    <t>A13</t>
  </si>
  <si>
    <t>Miroir lavabo</t>
  </si>
  <si>
    <t>A14</t>
  </si>
  <si>
    <t>CE 50L</t>
  </si>
  <si>
    <t>A15</t>
  </si>
  <si>
    <t>CE 75L</t>
  </si>
  <si>
    <t>A16</t>
  </si>
  <si>
    <t>CE 100L</t>
  </si>
  <si>
    <t>A17</t>
  </si>
  <si>
    <t>Petites fournitures</t>
  </si>
  <si>
    <t>A18</t>
  </si>
  <si>
    <t>Acc. raccordements</t>
  </si>
  <si>
    <t>B1</t>
  </si>
  <si>
    <t>PVC Ø63</t>
  </si>
  <si>
    <t>B2</t>
  </si>
  <si>
    <t>PVC Ø75</t>
  </si>
  <si>
    <t>B3</t>
  </si>
  <si>
    <t>PVC Ø100</t>
  </si>
  <si>
    <t>B4</t>
  </si>
  <si>
    <t>C1</t>
  </si>
  <si>
    <t>PPR Ø25</t>
  </si>
  <si>
    <t>C2</t>
  </si>
  <si>
    <t>C3</t>
  </si>
  <si>
    <t>C4</t>
  </si>
  <si>
    <t>Coude filetage</t>
  </si>
  <si>
    <t>C5</t>
  </si>
  <si>
    <t>D1</t>
  </si>
  <si>
    <t>PVC EP Ø110</t>
  </si>
  <si>
    <t>E1</t>
  </si>
  <si>
    <t>Station surpression</t>
  </si>
  <si>
    <t>E2</t>
  </si>
  <si>
    <t>Raccordement bâches</t>
  </si>
  <si>
    <t>F2</t>
  </si>
  <si>
    <t>Siphon D63</t>
  </si>
  <si>
    <t>F3</t>
  </si>
  <si>
    <t>Vanne+compteur+clapet</t>
  </si>
  <si>
    <t>Sous-total F</t>
  </si>
  <si>
    <t xml:space="preserve">TOTAL LOT 10 </t>
  </si>
  <si>
    <t xml:space="preserve">En attente d'estimation </t>
  </si>
  <si>
    <t xml:space="preserve">Estimé </t>
  </si>
  <si>
    <t>Dalle led 60x60 40W</t>
  </si>
  <si>
    <t>FCA China — Supplier Verified</t>
  </si>
  <si>
    <t>Réglette encastrable 60x60 4x14W</t>
  </si>
  <si>
    <t>Réglette étanche 2x20w</t>
  </si>
  <si>
    <t>Panel led 120x30cm</t>
  </si>
  <si>
    <t>Applique mural</t>
  </si>
  <si>
    <t>Applique mural étanche</t>
  </si>
  <si>
    <t>Spot encastrable hallogène G5,3</t>
  </si>
  <si>
    <t>Spot led 18w</t>
  </si>
  <si>
    <t>Spot led 22w</t>
  </si>
  <si>
    <t>Spot led 14w</t>
  </si>
  <si>
    <t>ÉCLAIRAGE</t>
  </si>
  <si>
    <t>Bloc autonome éclairage sécurité Ambiance</t>
  </si>
  <si>
    <t>Bloc autonome éclairage sécurité Direction</t>
  </si>
  <si>
    <t>BALISAGE/ÉCLAIRAGE SÉCURITÉ</t>
  </si>
  <si>
    <t>Inverseur auto source triphasé</t>
  </si>
  <si>
    <t>C6</t>
  </si>
  <si>
    <t>C7</t>
  </si>
  <si>
    <t>C8</t>
  </si>
  <si>
    <t>Prise réseau</t>
  </si>
  <si>
    <t>C9</t>
  </si>
  <si>
    <t>Prise téléphone</t>
  </si>
  <si>
    <t>C10</t>
  </si>
  <si>
    <t>C11</t>
  </si>
  <si>
    <t>Sous-total C</t>
  </si>
  <si>
    <t>APPAREILLAGE</t>
  </si>
  <si>
    <t>D2</t>
  </si>
  <si>
    <t>D3</t>
  </si>
  <si>
    <t>D4</t>
  </si>
  <si>
    <t>D5</t>
  </si>
  <si>
    <t>D6</t>
  </si>
  <si>
    <t>Gaine TPC Ø110 rouleau 25m</t>
  </si>
  <si>
    <t>D7</t>
  </si>
  <si>
    <t>D8</t>
  </si>
  <si>
    <t>D9</t>
  </si>
  <si>
    <t>Chemin câble 500x50x3000</t>
  </si>
  <si>
    <t>D10</t>
  </si>
  <si>
    <t>D11</t>
  </si>
  <si>
    <t>D12</t>
  </si>
  <si>
    <t>D13</t>
  </si>
  <si>
    <t>D14</t>
  </si>
  <si>
    <t>D15</t>
  </si>
  <si>
    <t>D16</t>
  </si>
  <si>
    <t>Console CDC 500 galva (10pcs)</t>
  </si>
  <si>
    <t>D17</t>
  </si>
  <si>
    <t>Console CDC 300 galva (10pcs)</t>
  </si>
  <si>
    <t>D18</t>
  </si>
  <si>
    <t>Console CDC 200 galva (10pcs)</t>
  </si>
  <si>
    <t>D19</t>
  </si>
  <si>
    <t>Console CDC 100 galva (10pcs)</t>
  </si>
  <si>
    <t>D20</t>
  </si>
  <si>
    <t>Gaine ICTA 20mm rouleau 100m</t>
  </si>
  <si>
    <t>D21</t>
  </si>
  <si>
    <t>D22</t>
  </si>
  <si>
    <t>D23</t>
  </si>
  <si>
    <t>UPS Triphasé 30 kVA</t>
  </si>
  <si>
    <t>D24</t>
  </si>
  <si>
    <t>Accessoires pose &amp; raccordement</t>
  </si>
  <si>
    <t>D25</t>
  </si>
  <si>
    <t>Prises terre complètes + barrette</t>
  </si>
  <si>
    <t>CÂBLES &amp; FOURREAUX</t>
  </si>
  <si>
    <t>Table distribution courant normal</t>
  </si>
  <si>
    <t>E3</t>
  </si>
  <si>
    <t>E4</t>
  </si>
  <si>
    <t>Sous-total E</t>
  </si>
  <si>
    <t>TABLEAUX &amp; COFFRETS</t>
  </si>
  <si>
    <t>Marque</t>
  </si>
  <si>
    <t>Lot 7</t>
  </si>
  <si>
    <t xml:space="preserve">TOTAL LOT 7 :ACHAT CHINE OPTIMISE </t>
  </si>
  <si>
    <t>Référence</t>
  </si>
  <si>
    <t>Lien fournisseur</t>
  </si>
  <si>
    <t>AUX</t>
  </si>
  <si>
    <t>https://www.alibaba.com/trade/search?SearchText=Climatiseur%20SPLIT%201.25CV%20Whirlpool%20AMD024</t>
  </si>
  <si>
    <t>MIDEA</t>
  </si>
  <si>
    <t>https://www.alibaba.com/trade/search?SearchText=Climatiseur%20SPLIT%205KW%20Whirlpool%20AMD026</t>
  </si>
  <si>
    <t>GREE</t>
  </si>
  <si>
    <t>https://www.alibaba.com/trade/search?SearchText=Climatiseur%20SPLIT%207KW%20Whirlpool%20AMD027</t>
  </si>
  <si>
    <t>OEM Kitchen</t>
  </si>
  <si>
    <t>https://www.alibaba.com/trade/search?SearchText=Hotte%20aspirante%20Whirlpool%20AKR439</t>
  </si>
  <si>
    <t>OEM HVAC</t>
  </si>
  <si>
    <t>https://www.alibaba.com/trade/search?SearchText=Liaisons%20frigorifiques%20+%20isolation</t>
  </si>
  <si>
    <t>OEM PVC</t>
  </si>
  <si>
    <t>https://www.alibaba.com/trade/search?SearchText=Tuyauterie%20PVC%20condensats%20/%20VMC</t>
  </si>
  <si>
    <t xml:space="preserve">TOTAL LOT 8 </t>
  </si>
  <si>
    <t>LOT 1– Terrassement &amp; Gros Œuvre (TTC)</t>
  </si>
  <si>
    <t>Libellé (Cliquer  ici pour accéder au Lot)</t>
  </si>
  <si>
    <t>Lot 11 - Faux plafonds (plafond acoustique du type ‘’ARMSTRONG’’)</t>
  </si>
  <si>
    <t xml:space="preserve">Paterne Gankama </t>
  </si>
  <si>
    <t>DQE CONFIDENTIEL</t>
  </si>
  <si>
    <t>Récapitulatif tarif CHINE FCA</t>
  </si>
  <si>
    <t>D – ÉLÉVATION R+1</t>
  </si>
  <si>
    <t xml:space="preserve"> ÉLÉVATION - BÂTIMENT PRINCIPAL</t>
  </si>
  <si>
    <t>I</t>
  </si>
  <si>
    <t>II</t>
  </si>
  <si>
    <t xml:space="preserve"> BÂTIMENT PRINCIPAL</t>
  </si>
  <si>
    <t xml:space="preserve"> BÂTIMENT ANNEXE</t>
  </si>
  <si>
    <t xml:space="preserve"> FONDATIONS</t>
  </si>
  <si>
    <t>Sous-total I – Bât principal</t>
  </si>
  <si>
    <t>Sous-total II – Bât annexe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</si>
</sst>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20" x14ac:knownFonts="1">
    <font>
      <sz val="11"/>
      <color theme="1"/>
      <name val="Calibri"/>
      <family val="2"/>
      <scheme val="minor"/>
    </font>
    <font>
      <b/>
      <sz val="18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4"/>
      <color rgb="FF0F1115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u/>
      <sz val="2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D9D9"/>
      </patternFill>
    </fill>
    <fill>
      <patternFill patternType="solid">
        <fgColor rgb="FFBFBFBF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B7DEE8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C19E"/>
      </patternFill>
    </fill>
    <fill>
      <patternFill patternType="solid">
        <fgColor rgb="FFF7F3EB"/>
      </patternFill>
    </fill>
    <fill>
      <patternFill patternType="solid">
        <fgColor rgb="FFFFFFFF"/>
      </patternFill>
    </fill>
    <fill>
      <patternFill patternType="solid">
        <fgColor rgb="FFC7B08A"/>
      </patternFill>
    </fill>
    <fill>
      <patternFill patternType="solid">
        <fgColor rgb="FFF5F2EA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A8A8A8"/>
      </left>
      <right style="thin">
        <color rgb="FFA8A8A8"/>
      </right>
      <top style="thin">
        <color rgb="FFA8A8A8"/>
      </top>
      <bottom style="thin">
        <color rgb="FFA8A8A8"/>
      </bottom>
      <diagonal/>
    </border>
  </borders>
  <cellStyleXfs count="3">
    <xf numFmtId="0" fontId="0" fillId="0" borderId="0"/>
    <xf numFmtId="3" fontId="13" fillId="0" borderId="0"/>
    <xf numFmtId="0" fontId="16" fillId="0" borderId="0"/>
  </cellStyleXfs>
  <cellXfs count="187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5" fillId="0" borderId="0" xfId="0" applyFont="1"/>
    <xf numFmtId="0" fontId="0" fillId="2" borderId="0" xfId="0" applyFill="1"/>
    <xf numFmtId="0" fontId="0" fillId="3" borderId="0" xfId="0" applyFill="1"/>
    <xf numFmtId="0" fontId="6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/>
    <xf numFmtId="0" fontId="0" fillId="6" borderId="0" xfId="0" applyFill="1"/>
    <xf numFmtId="0" fontId="7" fillId="0" borderId="0" xfId="0" applyFont="1"/>
    <xf numFmtId="0" fontId="0" fillId="0" borderId="0" xfId="0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  <xf numFmtId="0" fontId="5" fillId="0" borderId="1" xfId="0" applyFont="1" applyBorder="1"/>
    <xf numFmtId="0" fontId="0" fillId="0" borderId="1" xfId="0" applyBorder="1" applyAlignment="1">
      <alignment horizontal="left"/>
    </xf>
    <xf numFmtId="0" fontId="0" fillId="8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0" borderId="2" xfId="0" applyBorder="1"/>
    <xf numFmtId="4" fontId="0" fillId="0" borderId="0" xfId="0" applyNumberFormat="1"/>
    <xf numFmtId="4" fontId="0" fillId="0" borderId="1" xfId="0" applyNumberFormat="1" applyBorder="1"/>
    <xf numFmtId="4" fontId="0" fillId="8" borderId="1" xfId="0" applyNumberFormat="1" applyFill="1" applyBorder="1"/>
    <xf numFmtId="4" fontId="9" fillId="0" borderId="1" xfId="0" applyNumberFormat="1" applyFont="1" applyBorder="1"/>
    <xf numFmtId="4" fontId="0" fillId="7" borderId="1" xfId="0" applyNumberFormat="1" applyFill="1" applyBorder="1"/>
    <xf numFmtId="4" fontId="0" fillId="9" borderId="1" xfId="0" applyNumberFormat="1" applyFill="1" applyBorder="1"/>
    <xf numFmtId="4" fontId="0" fillId="10" borderId="1" xfId="0" applyNumberFormat="1" applyFill="1" applyBorder="1"/>
    <xf numFmtId="4" fontId="0" fillId="11" borderId="1" xfId="0" applyNumberFormat="1" applyFill="1" applyBorder="1"/>
    <xf numFmtId="4" fontId="9" fillId="0" borderId="0" xfId="0" applyNumberFormat="1" applyFont="1"/>
    <xf numFmtId="164" fontId="0" fillId="8" borderId="1" xfId="0" applyNumberFormat="1" applyFill="1" applyBorder="1"/>
    <xf numFmtId="164" fontId="0" fillId="7" borderId="1" xfId="0" applyNumberFormat="1" applyFill="1" applyBorder="1"/>
    <xf numFmtId="164" fontId="0" fillId="10" borderId="1" xfId="0" applyNumberFormat="1" applyFill="1" applyBorder="1"/>
    <xf numFmtId="164" fontId="0" fillId="11" borderId="1" xfId="0" applyNumberFormat="1" applyFill="1" applyBorder="1"/>
    <xf numFmtId="164" fontId="5" fillId="0" borderId="1" xfId="0" applyNumberFormat="1" applyFont="1" applyBorder="1"/>
    <xf numFmtId="164" fontId="5" fillId="0" borderId="0" xfId="0" applyNumberFormat="1" applyFont="1"/>
    <xf numFmtId="0" fontId="10" fillId="0" borderId="0" xfId="0" applyFont="1"/>
    <xf numFmtId="164" fontId="10" fillId="0" borderId="0" xfId="0" applyNumberFormat="1" applyFont="1"/>
    <xf numFmtId="4" fontId="0" fillId="0" borderId="1" xfId="0" applyNumberFormat="1" applyBorder="1" applyAlignment="1">
      <alignment horizontal="right"/>
    </xf>
    <xf numFmtId="0" fontId="0" fillId="10" borderId="0" xfId="0" applyFill="1"/>
    <xf numFmtId="4" fontId="0" fillId="10" borderId="0" xfId="0" applyNumberFormat="1" applyFill="1"/>
    <xf numFmtId="0" fontId="10" fillId="0" borderId="0" xfId="0" applyFont="1" applyAlignment="1">
      <alignment horizontal="right"/>
    </xf>
    <xf numFmtId="0" fontId="8" fillId="0" borderId="0" xfId="0" applyFont="1"/>
    <xf numFmtId="0" fontId="11" fillId="0" borderId="0" xfId="0" applyFont="1"/>
    <xf numFmtId="0" fontId="0" fillId="0" borderId="0" xfId="0" applyAlignment="1">
      <alignment horizontal="center"/>
    </xf>
    <xf numFmtId="0" fontId="12" fillId="0" borderId="0" xfId="0" applyFont="1"/>
    <xf numFmtId="0" fontId="0" fillId="9" borderId="0" xfId="0" applyFill="1"/>
    <xf numFmtId="0" fontId="0" fillId="12" borderId="0" xfId="0" applyFill="1"/>
    <xf numFmtId="0" fontId="0" fillId="11" borderId="0" xfId="0" applyFill="1"/>
    <xf numFmtId="0" fontId="0" fillId="13" borderId="0" xfId="0" applyFill="1"/>
    <xf numFmtId="0" fontId="0" fillId="14" borderId="0" xfId="0" applyFill="1"/>
    <xf numFmtId="0" fontId="0" fillId="0" borderId="0" xfId="0" applyAlignment="1">
      <alignment horizontal="left"/>
    </xf>
    <xf numFmtId="3" fontId="13" fillId="0" borderId="1" xfId="1" applyBorder="1"/>
    <xf numFmtId="3" fontId="10" fillId="0" borderId="0" xfId="0" applyNumberFormat="1" applyFont="1"/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center"/>
    </xf>
    <xf numFmtId="4" fontId="5" fillId="0" borderId="0" xfId="0" applyNumberFormat="1" applyFont="1"/>
    <xf numFmtId="0" fontId="7" fillId="0" borderId="0" xfId="0" applyFont="1" applyAlignment="1">
      <alignment horizontal="left"/>
    </xf>
    <xf numFmtId="4" fontId="7" fillId="0" borderId="0" xfId="0" applyNumberFormat="1" applyFont="1" applyAlignment="1">
      <alignment horizontal="left"/>
    </xf>
    <xf numFmtId="0" fontId="14" fillId="0" borderId="0" xfId="0" applyFont="1"/>
    <xf numFmtId="0" fontId="2" fillId="0" borderId="1" xfId="0" applyFont="1" applyBorder="1" applyAlignment="1">
      <alignment horizontal="center"/>
    </xf>
    <xf numFmtId="0" fontId="14" fillId="0" borderId="1" xfId="0" applyFont="1" applyBorder="1"/>
    <xf numFmtId="4" fontId="2" fillId="0" borderId="1" xfId="0" applyNumberFormat="1" applyFont="1" applyBorder="1" applyAlignment="1">
      <alignment horizontal="center"/>
    </xf>
    <xf numFmtId="4" fontId="0" fillId="0" borderId="0" xfId="0" applyNumberFormat="1" applyAlignment="1">
      <alignment vertical="center"/>
    </xf>
    <xf numFmtId="0" fontId="15" fillId="0" borderId="0" xfId="0" applyFont="1"/>
    <xf numFmtId="4" fontId="10" fillId="0" borderId="1" xfId="0" applyNumberFormat="1" applyFont="1" applyBorder="1" applyProtection="1">
      <protection locked="0"/>
    </xf>
    <xf numFmtId="4" fontId="10" fillId="0" borderId="1" xfId="0" applyNumberFormat="1" applyFont="1" applyBorder="1" applyAlignment="1" applyProtection="1">
      <alignment horizontal="right"/>
      <protection locked="0"/>
    </xf>
    <xf numFmtId="4" fontId="9" fillId="12" borderId="0" xfId="0" applyNumberFormat="1" applyFont="1" applyFill="1"/>
    <xf numFmtId="0" fontId="1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0" fillId="0" borderId="1" xfId="0" applyFont="1" applyBorder="1"/>
    <xf numFmtId="4" fontId="10" fillId="0" borderId="0" xfId="0" applyNumberFormat="1" applyFont="1"/>
    <xf numFmtId="0" fontId="16" fillId="0" borderId="0" xfId="2"/>
    <xf numFmtId="0" fontId="9" fillId="0" borderId="1" xfId="0" applyFont="1" applyBorder="1"/>
    <xf numFmtId="0" fontId="3" fillId="8" borderId="1" xfId="0" applyFont="1" applyFill="1" applyBorder="1" applyAlignment="1">
      <alignment horizontal="left"/>
    </xf>
    <xf numFmtId="0" fontId="3" fillId="8" borderId="4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4" fontId="3" fillId="8" borderId="1" xfId="0" applyNumberFormat="1" applyFont="1" applyFill="1" applyBorder="1" applyAlignment="1">
      <alignment horizontal="center"/>
    </xf>
    <xf numFmtId="0" fontId="0" fillId="0" borderId="4" xfId="0" applyBorder="1"/>
    <xf numFmtId="4" fontId="10" fillId="0" borderId="1" xfId="0" applyNumberFormat="1" applyFont="1" applyBorder="1"/>
    <xf numFmtId="4" fontId="10" fillId="15" borderId="1" xfId="0" applyNumberFormat="1" applyFont="1" applyFill="1" applyBorder="1"/>
    <xf numFmtId="4" fontId="0" fillId="0" borderId="4" xfId="0" applyNumberFormat="1" applyBorder="1"/>
    <xf numFmtId="4" fontId="9" fillId="0" borderId="4" xfId="0" applyNumberFormat="1" applyFont="1" applyBorder="1"/>
    <xf numFmtId="4" fontId="0" fillId="8" borderId="5" xfId="0" applyNumberFormat="1" applyFill="1" applyBorder="1"/>
    <xf numFmtId="4" fontId="0" fillId="12" borderId="0" xfId="0" applyNumberFormat="1" applyFill="1"/>
    <xf numFmtId="0" fontId="9" fillId="0" borderId="0" xfId="0" applyFont="1"/>
    <xf numFmtId="0" fontId="0" fillId="0" borderId="0" xfId="0" applyAlignment="1">
      <alignment horizontal="left" vertical="top"/>
    </xf>
    <xf numFmtId="0" fontId="0" fillId="15" borderId="0" xfId="0" applyFill="1"/>
    <xf numFmtId="0" fontId="0" fillId="15" borderId="1" xfId="0" applyFill="1" applyBorder="1"/>
    <xf numFmtId="4" fontId="0" fillId="15" borderId="1" xfId="0" applyNumberFormat="1" applyFill="1" applyBorder="1"/>
    <xf numFmtId="4" fontId="0" fillId="9" borderId="0" xfId="0" applyNumberFormat="1" applyFill="1"/>
    <xf numFmtId="4" fontId="5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0" fontId="0" fillId="16" borderId="1" xfId="0" applyFill="1" applyBorder="1"/>
    <xf numFmtId="0" fontId="5" fillId="16" borderId="1" xfId="0" applyFont="1" applyFill="1" applyBorder="1"/>
    <xf numFmtId="4" fontId="0" fillId="16" borderId="1" xfId="0" applyNumberFormat="1" applyFill="1" applyBorder="1"/>
    <xf numFmtId="0" fontId="0" fillId="17" borderId="1" xfId="0" applyFill="1" applyBorder="1"/>
    <xf numFmtId="0" fontId="5" fillId="17" borderId="1" xfId="0" applyFont="1" applyFill="1" applyBorder="1"/>
    <xf numFmtId="4" fontId="0" fillId="17" borderId="1" xfId="0" applyNumberFormat="1" applyFill="1" applyBorder="1"/>
    <xf numFmtId="0" fontId="0" fillId="18" borderId="1" xfId="0" applyFill="1" applyBorder="1"/>
    <xf numFmtId="0" fontId="5" fillId="18" borderId="1" xfId="0" applyFont="1" applyFill="1" applyBorder="1"/>
    <xf numFmtId="4" fontId="0" fillId="18" borderId="1" xfId="0" applyNumberFormat="1" applyFill="1" applyBorder="1"/>
    <xf numFmtId="0" fontId="0" fillId="19" borderId="1" xfId="0" applyFill="1" applyBorder="1"/>
    <xf numFmtId="0" fontId="5" fillId="19" borderId="1" xfId="0" applyFont="1" applyFill="1" applyBorder="1"/>
    <xf numFmtId="4" fontId="0" fillId="19" borderId="1" xfId="0" applyNumberFormat="1" applyFill="1" applyBorder="1"/>
    <xf numFmtId="0" fontId="5" fillId="0" borderId="1" xfId="0" applyFont="1" applyBorder="1" applyAlignment="1">
      <alignment horizontal="right"/>
    </xf>
    <xf numFmtId="0" fontId="0" fillId="20" borderId="1" xfId="0" applyFill="1" applyBorder="1"/>
    <xf numFmtId="0" fontId="5" fillId="20" borderId="1" xfId="0" applyFont="1" applyFill="1" applyBorder="1"/>
    <xf numFmtId="4" fontId="0" fillId="20" borderId="1" xfId="0" applyNumberFormat="1" applyFill="1" applyBorder="1"/>
    <xf numFmtId="4" fontId="2" fillId="0" borderId="0" xfId="0" applyNumberFormat="1" applyFont="1"/>
    <xf numFmtId="0" fontId="0" fillId="13" borderId="1" xfId="0" applyFill="1" applyBorder="1"/>
    <xf numFmtId="0" fontId="17" fillId="21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/>
    </xf>
    <xf numFmtId="4" fontId="2" fillId="21" borderId="0" xfId="0" applyNumberFormat="1" applyFont="1" applyFill="1" applyAlignment="1">
      <alignment horizontal="center"/>
    </xf>
    <xf numFmtId="4" fontId="11" fillId="0" borderId="0" xfId="0" applyNumberFormat="1" applyFont="1"/>
    <xf numFmtId="4" fontId="0" fillId="11" borderId="0" xfId="0" applyNumberFormat="1" applyFill="1"/>
    <xf numFmtId="4" fontId="0" fillId="13" borderId="0" xfId="0" applyNumberFormat="1" applyFill="1"/>
    <xf numFmtId="4" fontId="0" fillId="14" borderId="0" xfId="0" applyNumberFormat="1" applyFill="1"/>
    <xf numFmtId="4" fontId="0" fillId="6" borderId="0" xfId="0" applyNumberFormat="1" applyFill="1"/>
    <xf numFmtId="0" fontId="0" fillId="22" borderId="1" xfId="0" applyFill="1" applyBorder="1"/>
    <xf numFmtId="0" fontId="0" fillId="5" borderId="1" xfId="0" applyFill="1" applyBorder="1"/>
    <xf numFmtId="0" fontId="0" fillId="4" borderId="1" xfId="0" applyFill="1" applyBorder="1"/>
    <xf numFmtId="0" fontId="2" fillId="23" borderId="3" xfId="0" applyFont="1" applyFill="1" applyBorder="1" applyAlignment="1">
      <alignment horizontal="center"/>
    </xf>
    <xf numFmtId="4" fontId="2" fillId="23" borderId="3" xfId="0" applyNumberFormat="1" applyFont="1" applyFill="1" applyBorder="1" applyAlignment="1">
      <alignment horizontal="center"/>
    </xf>
    <xf numFmtId="0" fontId="0" fillId="24" borderId="3" xfId="0" applyFill="1" applyBorder="1"/>
    <xf numFmtId="4" fontId="0" fillId="24" borderId="3" xfId="0" applyNumberFormat="1" applyFill="1" applyBorder="1"/>
    <xf numFmtId="4" fontId="0" fillId="24" borderId="3" xfId="0" quotePrefix="1" applyNumberFormat="1" applyFill="1" applyBorder="1"/>
    <xf numFmtId="0" fontId="0" fillId="25" borderId="3" xfId="0" applyFill="1" applyBorder="1"/>
    <xf numFmtId="4" fontId="0" fillId="25" borderId="3" xfId="0" applyNumberFormat="1" applyFill="1" applyBorder="1"/>
    <xf numFmtId="4" fontId="0" fillId="25" borderId="3" xfId="0" quotePrefix="1" applyNumberFormat="1" applyFill="1" applyBorder="1"/>
    <xf numFmtId="0" fontId="0" fillId="24" borderId="6" xfId="0" applyFill="1" applyBorder="1"/>
    <xf numFmtId="4" fontId="0" fillId="24" borderId="6" xfId="0" applyNumberFormat="1" applyFill="1" applyBorder="1"/>
    <xf numFmtId="4" fontId="0" fillId="24" borderId="6" xfId="0" quotePrefix="1" applyNumberFormat="1" applyFill="1" applyBorder="1"/>
    <xf numFmtId="0" fontId="2" fillId="25" borderId="3" xfId="0" applyFont="1" applyFill="1" applyBorder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4" fontId="2" fillId="25" borderId="0" xfId="0" applyNumberFormat="1" applyFont="1" applyFill="1" applyAlignment="1">
      <alignment horizontal="center" vertical="center"/>
    </xf>
    <xf numFmtId="0" fontId="0" fillId="24" borderId="7" xfId="0" applyFill="1" applyBorder="1"/>
    <xf numFmtId="4" fontId="0" fillId="24" borderId="7" xfId="0" applyNumberFormat="1" applyFill="1" applyBorder="1"/>
    <xf numFmtId="4" fontId="0" fillId="24" borderId="7" xfId="0" quotePrefix="1" applyNumberFormat="1" applyFill="1" applyBorder="1"/>
    <xf numFmtId="0" fontId="0" fillId="25" borderId="6" xfId="0" applyFill="1" applyBorder="1"/>
    <xf numFmtId="4" fontId="0" fillId="25" borderId="6" xfId="0" applyNumberFormat="1" applyFill="1" applyBorder="1"/>
    <xf numFmtId="4" fontId="0" fillId="25" borderId="6" xfId="0" quotePrefix="1" applyNumberFormat="1" applyFill="1" applyBorder="1"/>
    <xf numFmtId="0" fontId="2" fillId="24" borderId="3" xfId="0" applyFont="1" applyFill="1" applyBorder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4" fontId="2" fillId="24" borderId="0" xfId="0" applyNumberFormat="1" applyFont="1" applyFill="1" applyAlignment="1">
      <alignment horizontal="center" vertical="center"/>
    </xf>
    <xf numFmtId="0" fontId="0" fillId="25" borderId="7" xfId="0" applyFill="1" applyBorder="1"/>
    <xf numFmtId="4" fontId="0" fillId="25" borderId="7" xfId="0" applyNumberFormat="1" applyFill="1" applyBorder="1"/>
    <xf numFmtId="4" fontId="0" fillId="25" borderId="7" xfId="0" quotePrefix="1" applyNumberFormat="1" applyFill="1" applyBorder="1"/>
    <xf numFmtId="4" fontId="0" fillId="25" borderId="0" xfId="0" quotePrefix="1" applyNumberFormat="1" applyFill="1"/>
    <xf numFmtId="0" fontId="2" fillId="25" borderId="3" xfId="0" applyFont="1" applyFill="1" applyBorder="1"/>
    <xf numFmtId="4" fontId="2" fillId="25" borderId="3" xfId="0" applyNumberFormat="1" applyFont="1" applyFill="1" applyBorder="1"/>
    <xf numFmtId="0" fontId="2" fillId="25" borderId="8" xfId="0" applyFont="1" applyFill="1" applyBorder="1" applyAlignment="1">
      <alignment horizontal="center" vertical="center"/>
    </xf>
    <xf numFmtId="0" fontId="2" fillId="24" borderId="8" xfId="0" applyFont="1" applyFill="1" applyBorder="1" applyAlignment="1">
      <alignment horizontal="center" vertical="center"/>
    </xf>
    <xf numFmtId="0" fontId="2" fillId="25" borderId="9" xfId="0" applyFont="1" applyFill="1" applyBorder="1" applyAlignment="1">
      <alignment horizontal="center" vertical="center"/>
    </xf>
    <xf numFmtId="0" fontId="2" fillId="24" borderId="9" xfId="0" applyFont="1" applyFill="1" applyBorder="1" applyAlignment="1">
      <alignment horizontal="center" vertical="center"/>
    </xf>
    <xf numFmtId="0" fontId="9" fillId="24" borderId="0" xfId="0" applyFont="1" applyFill="1" applyAlignment="1">
      <alignment horizontal="right"/>
    </xf>
    <xf numFmtId="4" fontId="9" fillId="24" borderId="0" xfId="0" applyNumberFormat="1" applyFont="1" applyFill="1"/>
    <xf numFmtId="0" fontId="18" fillId="26" borderId="10" xfId="0" applyFont="1" applyFill="1" applyBorder="1" applyAlignment="1">
      <alignment horizontal="center" vertical="center"/>
    </xf>
    <xf numFmtId="4" fontId="18" fillId="26" borderId="10" xfId="0" applyNumberFormat="1" applyFont="1" applyFill="1" applyBorder="1" applyAlignment="1">
      <alignment horizontal="center" vertical="center"/>
    </xf>
    <xf numFmtId="0" fontId="0" fillId="27" borderId="10" xfId="0" applyFill="1" applyBorder="1"/>
    <xf numFmtId="4" fontId="0" fillId="27" borderId="10" xfId="0" applyNumberFormat="1" applyFill="1" applyBorder="1"/>
    <xf numFmtId="0" fontId="0" fillId="25" borderId="10" xfId="0" applyFill="1" applyBorder="1"/>
    <xf numFmtId="4" fontId="0" fillId="25" borderId="10" xfId="0" applyNumberFormat="1" applyFill="1" applyBorder="1"/>
    <xf numFmtId="0" fontId="4" fillId="22" borderId="1" xfId="0" applyFont="1" applyFill="1" applyBorder="1"/>
    <xf numFmtId="0" fontId="16" fillId="0" borderId="1" xfId="2" applyBorder="1"/>
    <xf numFmtId="0" fontId="19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12" fillId="0" borderId="0" xfId="0" applyFont="1"/>
    <xf numFmtId="0" fontId="3" fillId="0" borderId="0" xfId="0" applyFont="1" applyAlignment="1">
      <alignment horizontal="left"/>
    </xf>
    <xf numFmtId="4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11" fillId="0" borderId="0" xfId="0" applyFont="1"/>
    <xf numFmtId="0" fontId="5" fillId="9" borderId="0" xfId="0" applyFont="1" applyFill="1"/>
    <xf numFmtId="0" fontId="11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0" fillId="0" borderId="1" xfId="0" applyFill="1" applyBorder="1"/>
    <xf numFmtId="4" fontId="0" fillId="0" borderId="1" xfId="0" applyNumberFormat="1" applyFill="1" applyBorder="1"/>
    <xf numFmtId="164" fontId="0" fillId="0" borderId="1" xfId="0" applyNumberFormat="1" applyFill="1" applyBorder="1"/>
    <xf numFmtId="0" fontId="5" fillId="0" borderId="1" xfId="0" applyFont="1" applyFill="1" applyBorder="1"/>
  </cellXfs>
  <cellStyles count="3">
    <cellStyle name="Lien hypertexte" xfId="2" builtinId="8"/>
    <cellStyle name="money" xfId="1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1983441</xdr:colOff>
      <xdr:row>27</xdr:row>
      <xdr:rowOff>34259</xdr:rowOff>
    </xdr:from>
    <xdr:to>
      <xdr:col>4</xdr:col>
      <xdr:colOff>5221942</xdr:colOff>
      <xdr:row>64</xdr:row>
      <xdr:rowOff>99894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405FE11-2A9F-7434-FACB-8DB619E5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3441" y="7026730"/>
          <a:ext cx="12449736" cy="7114135"/>
        </a:xfrm>
        <a:prstGeom prst="rect">
          <a:avLst/>
        </a:prstGeom>
      </xdr:spPr>
    </xdr:pic>
    <xdr:clientData/>
  </xdr:twoCellAnchor>
  <xdr:twoCellAnchor>
    <xdr:from>
      <xdr:col>1</xdr:col>
      <xdr:colOff>2185147</xdr:colOff>
      <xdr:row>65</xdr:row>
      <xdr:rowOff>11205</xdr:rowOff>
    </xdr:from>
    <xdr:to>
      <xdr:col>4</xdr:col>
      <xdr:colOff>5244354</xdr:colOff>
      <xdr:row>112</xdr:row>
      <xdr:rowOff>67234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68368A54-6C35-3948-78EC-74CF005C3CC3}"/>
            </a:ext>
          </a:extLst>
        </xdr:cNvPr>
        <xdr:cNvSpPr txBox="1"/>
      </xdr:nvSpPr>
      <xdr:spPr>
        <a:xfrm>
          <a:off x="4224618" y="14242676"/>
          <a:ext cx="10230971" cy="90095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600" b="1" i="0" u="sng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Résumé – Analyse des Achats et Projection des Coûts</a:t>
          </a:r>
        </a:p>
        <a:p>
          <a:pPr algn="ctr"/>
          <a:r>
            <a:rPr lang="fr-FR" sz="1600" b="1" i="0" u="sng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(Projet Familial)</a:t>
          </a:r>
        </a:p>
        <a:p>
          <a:pPr algn="ctr"/>
          <a:endParaRPr lang="fr-FR" sz="1600" b="1" i="0" u="sng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fr-FR" sz="1600" b="1" i="0" u="sng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fr-FR" sz="14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fr-FR" sz="14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Ce qui a été réalisé jusqu’à présent</a:t>
          </a:r>
        </a:p>
        <a:p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Analyse complète de l’ensemble des lots du projet (bâtiment principal + annexe).</a:t>
          </a:r>
        </a:p>
        <a:p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Collecte des prix publics standards chez des fournisseurs chinois fiables.</a:t>
          </a:r>
        </a:p>
        <a:p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Estimation des coûts en </a:t>
          </a:r>
          <a:r>
            <a:rPr lang="fr-FR" sz="1400" b="1" i="0" u="sng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FCA</a:t>
          </a:r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(prix départ usine Chine).</a:t>
          </a:r>
        </a:p>
        <a:p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Organisation des lots pour optimiser les choix entre fabrication locale et importation Chine.</a:t>
          </a:r>
        </a:p>
        <a:p>
          <a:endParaRPr lang="fr-FR" sz="14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fr-FR" sz="14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2</a:t>
          </a:r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fr-FR" sz="14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Rappel : Qu’est-ce qu’un prix FCA ?</a:t>
          </a:r>
        </a:p>
        <a:p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Les prix FCA (Free Carrier) signifient :</a:t>
          </a:r>
        </a:p>
        <a:p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Prix du matériel à l’usine en Chine.</a:t>
          </a:r>
        </a:p>
        <a:p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Non inclus : transport maritime, assurance, douane, taxes locales, livraison au chantier.</a:t>
          </a:r>
        </a:p>
        <a:p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Ces coûts seront estimés une fois la validation familiale obtenue.</a:t>
          </a:r>
        </a:p>
        <a:p>
          <a:endParaRPr lang="fr-FR" sz="14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fr-FR" sz="14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3</a:t>
          </a:r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fr-FR" sz="14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Fiabilité des estimations</a:t>
          </a:r>
        </a:p>
        <a:p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Les prix utilisés sont :</a:t>
          </a:r>
        </a:p>
        <a:p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Stables depuis plusieurs années,</a:t>
          </a:r>
        </a:p>
        <a:p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Issues de marques chinoises reconnues,</a:t>
          </a:r>
        </a:p>
        <a:p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Peu sensibles aux fluctuations.</a:t>
          </a:r>
        </a:p>
        <a:p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ä Toute variation future devrait rester faible.</a:t>
          </a:r>
        </a:p>
        <a:p>
          <a:endParaRPr lang="fr-FR" sz="14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fr-FR" sz="14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4</a:t>
          </a:r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fr-FR" sz="14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Prochaines étapes (à lancer après validation familiale)</a:t>
          </a:r>
        </a:p>
        <a:p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Lancement des demandes de devis réels auprès de plusieurs usines chinoises.</a:t>
          </a:r>
        </a:p>
        <a:p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Vérification des prix exacts, garanties, délais et emballages.</a:t>
          </a:r>
        </a:p>
        <a:p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Évaluation complète du transport (fret, assurance, douane).</a:t>
          </a:r>
        </a:p>
        <a:p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Consolidation Chine + local pour un budget final précis.</a:t>
          </a:r>
        </a:p>
        <a:p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• Planification des achats par phases.</a:t>
          </a:r>
        </a:p>
        <a:p>
          <a:endParaRPr lang="fr-FR" sz="14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fr-FR" sz="14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5</a:t>
          </a:r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fr-FR" sz="14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Conclusion</a:t>
          </a:r>
        </a:p>
        <a:p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Nous disposons désormais d’une base de travail claire et structurée pour évaluer le coût global</a:t>
          </a:r>
        </a:p>
        <a:p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du projet.</a:t>
          </a:r>
        </a:p>
        <a:p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Dès que la famille valide, nous lançons l’étude détaillée et finalisée.</a:t>
          </a:r>
        </a:p>
        <a:p>
          <a:endParaRPr lang="fr-FR" sz="14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Merci pour votre confiance.</a:t>
          </a:r>
        </a:p>
        <a:p>
          <a:r>
            <a:rPr lang="fr-FR" sz="14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Paterne GANKAMA</a:t>
          </a:r>
        </a:p>
        <a:p>
          <a:r>
            <a:rPr lang="fr-FR" sz="14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Pour la famille.</a:t>
          </a:r>
          <a:endParaRPr lang="fr-FR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190501</xdr:colOff>
      <xdr:row>2</xdr:row>
      <xdr:rowOff>6898</xdr:rowOff>
    </xdr:from>
    <xdr:to>
      <xdr:col>1</xdr:col>
      <xdr:colOff>3009901</xdr:colOff>
      <xdr:row>8</xdr:row>
      <xdr:rowOff>19048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DF28C8F-E4CE-491F-82BF-9080E77BE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1" y="387898"/>
          <a:ext cx="2819400" cy="11551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1495425</xdr:colOff>
      <xdr:row>0</xdr:row>
      <xdr:rowOff>19050</xdr:rowOff>
    </xdr:from>
    <xdr:to>
      <xdr:col>1</xdr:col>
      <xdr:colOff>5076825</xdr:colOff>
      <xdr:row>7</xdr:row>
      <xdr:rowOff>183491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8EBBC02-07B1-437A-8104-1211ACAC3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0" y="19050"/>
          <a:ext cx="3581400" cy="183131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19050</xdr:rowOff>
    </xdr:from>
    <xdr:to>
      <xdr:col>1</xdr:col>
      <xdr:colOff>2819400</xdr:colOff>
      <xdr:row>8</xdr:row>
      <xdr:rowOff>31200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00050"/>
          <a:ext cx="2819400" cy="11551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2</xdr:row>
      <xdr:rowOff>19050</xdr:rowOff>
    </xdr:from>
    <xdr:to>
      <xdr:col>1</xdr:col>
      <xdr:colOff>2819400</xdr:colOff>
      <xdr:row>8</xdr:row>
      <xdr:rowOff>31200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7494E86-D5DB-48FF-B0B9-9242D5CCC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00050"/>
          <a:ext cx="2819400" cy="11551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171450</xdr:rowOff>
    </xdr:from>
    <xdr:to>
      <xdr:col>6</xdr:col>
      <xdr:colOff>84815</xdr:colOff>
      <xdr:row>9</xdr:row>
      <xdr:rowOff>66498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0C9FD0C-6AC1-4151-A387-B80DC99AF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361950"/>
          <a:ext cx="7276190" cy="1419048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5</xdr:col>
      <xdr:colOff>684881</xdr:colOff>
      <xdr:row>7</xdr:row>
      <xdr:rowOff>123661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76250"/>
          <a:ext cx="7352381" cy="131428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3714751</xdr:colOff>
      <xdr:row>0</xdr:row>
      <xdr:rowOff>28575</xdr:rowOff>
    </xdr:from>
    <xdr:to>
      <xdr:col>4</xdr:col>
      <xdr:colOff>704851</xdr:colOff>
      <xdr:row>10</xdr:row>
      <xdr:rowOff>6554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1" y="28575"/>
          <a:ext cx="2762250" cy="193060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1790700</xdr:colOff>
      <xdr:row>0</xdr:row>
      <xdr:rowOff>123825</xdr:rowOff>
    </xdr:from>
    <xdr:to>
      <xdr:col>2</xdr:col>
      <xdr:colOff>38100</xdr:colOff>
      <xdr:row>7</xdr:row>
      <xdr:rowOff>161412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D028850-3D38-4A40-AE3E-28594F700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7450" y="123825"/>
          <a:ext cx="2247900" cy="157111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2943225</xdr:colOff>
      <xdr:row>0</xdr:row>
      <xdr:rowOff>0</xdr:rowOff>
    </xdr:from>
    <xdr:to>
      <xdr:col>4</xdr:col>
      <xdr:colOff>952500</xdr:colOff>
      <xdr:row>9</xdr:row>
      <xdr:rowOff>49673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0925" y="0"/>
          <a:ext cx="2524125" cy="176417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571501</xdr:colOff>
      <xdr:row>2</xdr:row>
      <xdr:rowOff>21001</xdr:rowOff>
    </xdr:from>
    <xdr:to>
      <xdr:col>4</xdr:col>
      <xdr:colOff>238126</xdr:colOff>
      <xdr:row>7</xdr:row>
      <xdr:rowOff>104579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1" y="421051"/>
          <a:ext cx="4019550" cy="108370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180975</xdr:rowOff>
    </xdr:from>
    <xdr:to>
      <xdr:col>1</xdr:col>
      <xdr:colOff>1409700</xdr:colOff>
      <xdr:row>8</xdr:row>
      <xdr:rowOff>66675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42F870A-E7D5-4CC2-A1C9-8CF38559A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371475"/>
          <a:ext cx="2143125" cy="12192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5</xdr:col>
      <xdr:colOff>684881</xdr:colOff>
      <xdr:row>6</xdr:row>
      <xdr:rowOff>123661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38125"/>
          <a:ext cx="7352381" cy="131428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141965</xdr:colOff>
      <xdr:row>8</xdr:row>
      <xdr:rowOff>85548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2675" y="190500"/>
          <a:ext cx="7276190" cy="1419048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1</xdr:row>
      <xdr:rowOff>66674</xdr:rowOff>
    </xdr:from>
    <xdr:to>
      <xdr:col>1</xdr:col>
      <xdr:colOff>3038475</xdr:colOff>
      <xdr:row>8</xdr:row>
      <xdr:rowOff>133772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304799"/>
          <a:ext cx="3048000" cy="173397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1</xdr:row>
      <xdr:rowOff>219075</xdr:rowOff>
    </xdr:from>
    <xdr:to>
      <xdr:col>2</xdr:col>
      <xdr:colOff>409023</xdr:colOff>
      <xdr:row>7</xdr:row>
      <xdr:rowOff>114135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457200"/>
          <a:ext cx="4419048" cy="132381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1</xdr:row>
      <xdr:rowOff>57150</xdr:rowOff>
    </xdr:from>
    <xdr:to>
      <xdr:col>5</xdr:col>
      <xdr:colOff>475331</xdr:colOff>
      <xdr:row>6</xdr:row>
      <xdr:rowOff>180811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295275"/>
          <a:ext cx="7352381" cy="131428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2352675</xdr:colOff>
      <xdr:row>0</xdr:row>
      <xdr:rowOff>142875</xdr:rowOff>
    </xdr:from>
    <xdr:to>
      <xdr:col>3</xdr:col>
      <xdr:colOff>895350</xdr:colOff>
      <xdr:row>8</xdr:row>
      <xdr:rowOff>82447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4675" y="142875"/>
          <a:ext cx="2162175" cy="15111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5</xdr:col>
      <xdr:colOff>1685006</xdr:colOff>
      <xdr:row>7</xdr:row>
      <xdr:rowOff>171286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238125"/>
          <a:ext cx="7352381" cy="131428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970631</xdr:colOff>
      <xdr:row>7</xdr:row>
      <xdr:rowOff>171286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238125"/>
          <a:ext cx="7352381" cy="131428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0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60" customWidth="1"/>
  </cols>
  <sheetData>
    <row r="1" spans="1:6" x14ac:dyDescent="0.25">
      <c r="A1" t="s">
        <v>0</v>
      </c>
    </row>
    <row r="11" spans="1:6" ht="23.25" customHeight="1" x14ac:dyDescent="0.35">
      <c r="A11" s="172" t="s">
        <v>1</v>
      </c>
      <c r="B11" s="173"/>
      <c r="C11" s="173"/>
      <c r="D11" s="173"/>
      <c r="E11" s="173"/>
      <c r="F11" s="173"/>
    </row>
    <row r="13" spans="1:6" x14ac:dyDescent="0.25">
      <c r="A13" t="s">
        <v>547</v>
      </c>
    </row>
    <row r="14" spans="1:6" x14ac:dyDescent="0.25">
      <c r="A14" s="49" t="s">
        <v>548</v>
      </c>
    </row>
    <row r="30" spans="1:1" x14ac:dyDescent="0.25">
      <c r="A30" t="s">
        <v>2</v>
      </c>
    </row>
  </sheetData>
  <mergeCells count="1">
    <mergeCell ref="A11:F11"/>
  </mergeCells>
  <pageMargins left="0.3" right="0.3" top="0.5" bottom="0.5" header="0.5" footer="0.5"/>
  <pageSetup paperSize="9" fitToHeight="0" orientation="landscape" horizontalDpi="4294967292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21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72.42578125" customWidth="1"/>
    <col min="2" max="2" width="40" customWidth="1"/>
  </cols>
  <sheetData>
    <row r="1" spans="1:2" ht="18.75" customHeight="1" x14ac:dyDescent="0.3">
      <c r="A1" s="1" t="s">
        <v>3</v>
      </c>
    </row>
    <row r="3" spans="1:2" x14ac:dyDescent="0.25">
      <c r="A3" t="s">
        <v>4</v>
      </c>
      <c r="B3" t="str">
        <f>HYPERLINK("#'Lot 1'!A1","Ouvrir Lot 1")</f>
        <v>Ouvrir Lot 1</v>
      </c>
    </row>
    <row r="4" spans="1:2" x14ac:dyDescent="0.25">
      <c r="A4" t="s">
        <v>122</v>
      </c>
      <c r="B4" t="str">
        <f>HYPERLINK("#'Lot 2'!A1","Ouvrir Lot 2")</f>
        <v>Ouvrir Lot 2</v>
      </c>
    </row>
    <row r="5" spans="1:2" x14ac:dyDescent="0.25">
      <c r="A5" t="s">
        <v>133</v>
      </c>
      <c r="B5" t="str">
        <f>HYPERLINK("#'Lot 3'!A1","Ouvrir Lot 3")</f>
        <v>Ouvrir Lot 3</v>
      </c>
    </row>
    <row r="6" spans="1:2" x14ac:dyDescent="0.25">
      <c r="A6" t="s">
        <v>385</v>
      </c>
      <c r="B6" t="str">
        <f>HYPERLINK("#'Lot 4'!A1","Ouvrir Lot 4")</f>
        <v>Ouvrir Lot 4</v>
      </c>
    </row>
    <row r="7" spans="1:2" x14ac:dyDescent="0.25">
      <c r="A7" t="s">
        <v>5</v>
      </c>
      <c r="B7" t="str">
        <f>HYPERLINK("#'Lot 5'!A1","Ouvrir Lot 5")</f>
        <v>Ouvrir Lot 5</v>
      </c>
    </row>
    <row r="8" spans="1:2" x14ac:dyDescent="0.25">
      <c r="A8" t="s">
        <v>6</v>
      </c>
      <c r="B8" s="77" t="str">
        <f>HYPERLINK("#'Lot 6'!A1","Ouvrir Lot 6")</f>
        <v>Ouvrir Lot 6</v>
      </c>
    </row>
    <row r="9" spans="1:2" x14ac:dyDescent="0.25">
      <c r="A9" t="s">
        <v>169</v>
      </c>
      <c r="B9" s="77" t="str">
        <f>HYPERLINK("#'Lot 7'!A1","Ouvrir Lot 7")</f>
        <v>Ouvrir Lot 7</v>
      </c>
    </row>
    <row r="10" spans="1:2" x14ac:dyDescent="0.25">
      <c r="A10" t="s">
        <v>175</v>
      </c>
      <c r="B10" s="77" t="str">
        <f>HYPERLINK("#'Lot 8'!A1","Ouvrir Lot 8")</f>
        <v>Ouvrir Lot 8</v>
      </c>
    </row>
    <row r="11" spans="1:2" x14ac:dyDescent="0.25">
      <c r="A11" t="s">
        <v>176</v>
      </c>
      <c r="B11" s="77" t="str">
        <f>HYPERLINK("#'Lot 9'!A1","Ouvrir Lot 9")</f>
        <v>Ouvrir Lot 9</v>
      </c>
    </row>
    <row r="12" spans="1:2" x14ac:dyDescent="0.25">
      <c r="A12" t="s">
        <v>7</v>
      </c>
      <c r="B12" s="77" t="str">
        <f>HYPERLINK("#'Lot 10'!A1","Ouvrir Lot 10")</f>
        <v>Ouvrir Lot 10</v>
      </c>
    </row>
    <row r="13" spans="1:2" x14ac:dyDescent="0.25">
      <c r="A13" t="s">
        <v>546</v>
      </c>
      <c r="B13" s="77" t="str">
        <f>HYPERLINK("#'Lot 11'!A1","Ouvrir Lot 11")</f>
        <v>Ouvrir Lot 11</v>
      </c>
    </row>
    <row r="14" spans="1:2" x14ac:dyDescent="0.25">
      <c r="A14" t="s">
        <v>206</v>
      </c>
      <c r="B14" t="str">
        <f>HYPERLINK("#'Lot 12'!A1","Ouvrir Lot 12")</f>
        <v>Ouvrir Lot 12</v>
      </c>
    </row>
    <row r="15" spans="1:2" x14ac:dyDescent="0.25">
      <c r="A15" t="s">
        <v>210</v>
      </c>
      <c r="B15" t="str">
        <f>HYPERLINK("#'Lot 13'!A1","Ouvrir Lot 13")</f>
        <v>Ouvrir Lot 13</v>
      </c>
    </row>
    <row r="16" spans="1:2" x14ac:dyDescent="0.25">
      <c r="A16" t="s">
        <v>221</v>
      </c>
      <c r="B16" t="str">
        <f>HYPERLINK("#'Lot 14'!A1","Ouvrir Lot 14")</f>
        <v>Ouvrir Lot 14</v>
      </c>
    </row>
    <row r="17" spans="1:2" x14ac:dyDescent="0.25">
      <c r="A17" t="s">
        <v>224</v>
      </c>
      <c r="B17" t="str">
        <f>HYPERLINK("#'Lot 15'!A1","Ouvrir Lot 15")</f>
        <v>Ouvrir Lot 15</v>
      </c>
    </row>
    <row r="18" spans="1:2" x14ac:dyDescent="0.25">
      <c r="A18" t="s">
        <v>229</v>
      </c>
      <c r="B18" t="str">
        <f>HYPERLINK("#'Lot 16'!A1","Ouvrir Lot 16")</f>
        <v>Ouvrir Lot 16</v>
      </c>
    </row>
    <row r="19" spans="1:2" x14ac:dyDescent="0.25">
      <c r="A19" t="s">
        <v>235</v>
      </c>
      <c r="B19" s="77" t="str">
        <f>HYPERLINK("#'Lot 17'!A1","Ouvrir Lot 17")</f>
        <v>Ouvrir Lot 17</v>
      </c>
    </row>
    <row r="20" spans="1:2" x14ac:dyDescent="0.25">
      <c r="A20" t="s">
        <v>237</v>
      </c>
      <c r="B20" s="77" t="str">
        <f>HYPERLINK("#'Lot 18'!A1","Ouvrir Lot 18")</f>
        <v>Ouvrir Lot 18</v>
      </c>
    </row>
    <row r="21" spans="1:2" x14ac:dyDescent="0.25">
      <c r="A21" t="s">
        <v>238</v>
      </c>
      <c r="B21" s="77" t="str">
        <f>HYPERLINK("#'Lot 19'!A1","Ouvrir Lot 19")</f>
        <v>Ouvrir Lot 19</v>
      </c>
    </row>
  </sheetData>
  <pageMargins left="0.3" right="0.3" top="0.5" bottom="0.5" header="0.5" footer="0.5"/>
  <pageSetup paperSize="9" fitToHeight="0" orientation="landscape" horizontalDpi="4294967292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4251-8B77-44DD-BE6E-8C550CEEB3E7}">
  <sheetPr>
    <pageSetUpPr fitToPage="1"/>
  </sheetPr>
  <dimension ref="A1:E26"/>
  <sheetViews>
    <sheetView zoomScale="85" zoomScaleNormal="85" workbookViewId="0">
      <selection activeCell="B4" sqref="B4"/>
    </sheetView>
  </sheetViews>
  <sheetFormatPr baseColWidth="10" defaultColWidth="9.140625" defaultRowHeight="15" x14ac:dyDescent="0.25"/>
  <cols>
    <col min="1" max="1" width="30.5703125" customWidth="1"/>
    <col min="2" max="2" width="48.140625" customWidth="1"/>
    <col min="3" max="3" width="26" customWidth="1"/>
    <col min="4" max="4" width="33.42578125" customWidth="1"/>
    <col min="5" max="5" width="119.140625" customWidth="1"/>
  </cols>
  <sheetData>
    <row r="1" spans="1:5" ht="30" customHeight="1" x14ac:dyDescent="0.4">
      <c r="B1" s="171" t="s">
        <v>549</v>
      </c>
    </row>
    <row r="2" spans="1:5" ht="18.75" customHeight="1" x14ac:dyDescent="0.3">
      <c r="A2" s="1"/>
    </row>
    <row r="3" spans="1:5" ht="18.75" customHeight="1" x14ac:dyDescent="0.3">
      <c r="A3" s="14" t="s">
        <v>8</v>
      </c>
      <c r="B3" s="1" t="s">
        <v>545</v>
      </c>
      <c r="C3" s="14" t="s">
        <v>9</v>
      </c>
      <c r="D3" s="14" t="s">
        <v>10</v>
      </c>
      <c r="E3" s="69" t="s">
        <v>11</v>
      </c>
    </row>
    <row r="4" spans="1:5" ht="30.95" customHeight="1" x14ac:dyDescent="0.35">
      <c r="A4" s="11" t="s">
        <v>12</v>
      </c>
      <c r="B4" s="170" t="str">
        <f>HYPERLINK("#'Lot 1'!A1", "Terrassement &amp; Gros Œuvre Phase version placo")</f>
        <v>Terrassement &amp; Gros Œuvre Phase version placo</v>
      </c>
      <c r="C4" s="11" t="s">
        <v>13</v>
      </c>
      <c r="D4" s="70" cm="1">
        <f t="array" aca="1" ref="D4" ca="1">IFERROR(
  _xlfn.XLOOKUP(
    "*TOTAL LOT*",
    INDIRECT("'"&amp;$A4&amp;"'!B:B"),
    INDIRECT("'"&amp;$A4&amp;"'!F:F"),
    "—",
    2,-1
  ),
  IFERROR(
    _xlfn.XLOOKUP(
      "TOTAL GENERAL TTC",
      INDIRECT("'"&amp;$A4&amp;"'!B:B"),
      INDIRECT("'"&amp;$A4&amp;"'!F:F"),
      "—",
      0,-1
    ),
  "—")
)</f>
        <v>36725450</v>
      </c>
      <c r="E4" s="125" t="s">
        <v>389</v>
      </c>
    </row>
    <row r="5" spans="1:5" ht="30.95" customHeight="1" x14ac:dyDescent="0.35">
      <c r="A5" s="11" t="s">
        <v>14</v>
      </c>
      <c r="B5" s="170" t="str">
        <f>HYPERLINK("#'Lot 2'!A1", "Étancheité (Terrasse)")</f>
        <v>Étancheité (Terrasse)</v>
      </c>
      <c r="C5" s="11" t="s">
        <v>13</v>
      </c>
      <c r="D5" s="70">
        <f t="array" aca="1" ref="D5" ca="1">IFERROR(
  _xlfn.XLOOKUP(
    "*TOTAL LOT*",
    INDIRECT("'"&amp;$A5&amp;"'!B:B"),
    INDIRECT("'"&amp;$A5&amp;"'!F:F"),
    "—",
    2,-1
  ),
  IFERROR(
    _xlfn.XLOOKUP(
      "TOTAL GENERAL TTC",
      INDIRECT("'"&amp;$A5&amp;"'!B:B"),
      INDIRECT("'"&amp;$A5&amp;"'!F:F"),
      "—",
      0,-1
    ),
  "—")
)</f>
        <v>7302400</v>
      </c>
      <c r="E5" s="116" t="s">
        <v>15</v>
      </c>
    </row>
    <row r="6" spans="1:5" ht="30.95" customHeight="1" x14ac:dyDescent="0.35">
      <c r="A6" s="11" t="s">
        <v>16</v>
      </c>
      <c r="B6" s="170" t="str">
        <f>HYPERLINK("#'Lot 3'!A1", "Revêtements sols &amp; murs")</f>
        <v>Revêtements sols &amp; murs</v>
      </c>
      <c r="C6" s="11" t="s">
        <v>13</v>
      </c>
      <c r="D6" s="70">
        <f t="array" aca="1" ref="D6" ca="1">IFERROR(
  _xlfn.XLOOKUP(
    "*TOTAL LOT*",
    INDIRECT("'"&amp;$A6&amp;"'!B:B"),
    INDIRECT("'"&amp;$A6&amp;"'!F:F"),
    "—",
    2,-1
  ),
  IFERROR(
    _xlfn.XLOOKUP(
      "TOTAL GENERAL TTC",
      INDIRECT("'"&amp;$A6&amp;"'!B:B"),
      INDIRECT("'"&amp;$A6&amp;"'!F:F"),
      "—",
      0,-1
    ),
  "—")
)</f>
        <v>10895140</v>
      </c>
      <c r="E6" s="125" t="s">
        <v>387</v>
      </c>
    </row>
    <row r="7" spans="1:5" ht="30.95" customHeight="1" x14ac:dyDescent="0.35">
      <c r="A7" s="11" t="s">
        <v>17</v>
      </c>
      <c r="B7" s="170" t="str">
        <f>HYPERLINK("#'Lot 4'!A1", "Menuserie aluminium")</f>
        <v>Menuserie aluminium</v>
      </c>
      <c r="C7" s="11"/>
      <c r="D7" s="70" cm="1">
        <f t="array" aca="1" ref="D7" ca="1">IFERROR(
  _xlfn.XLOOKUP(
    "*TOTAL LOT*",
    INDIRECT("'"&amp;$A7&amp;"'!B:B"),
    INDIRECT("'"&amp;$A7&amp;"'!F:F"),
    "—",
    2,-1
  ),
  IFERROR(
    _xlfn.XLOOKUP(
      "TOTAL GENERAL TTC",
      INDIRECT("'"&amp;$A7&amp;"'!B:B"),
      INDIRECT("'"&amp;$A7&amp;"'!F:F"),
      "—",
      0,-1
    ),
  "—")
)</f>
        <v>37743220</v>
      </c>
      <c r="E7" s="116" t="s">
        <v>388</v>
      </c>
    </row>
    <row r="8" spans="1:5" ht="30.95" customHeight="1" x14ac:dyDescent="0.35">
      <c r="A8" s="11" t="s">
        <v>19</v>
      </c>
      <c r="B8" s="170" t="str">
        <f>HYPERLINK("#'Lot 5'!A1", "Menuserie métallique et ferronnerie")</f>
        <v>Menuserie métallique et ferronnerie</v>
      </c>
      <c r="C8" s="11" t="s">
        <v>20</v>
      </c>
      <c r="D8" s="70" cm="1">
        <f t="array" aca="1" ref="D8" ca="1">IFERROR(
  _xlfn.XLOOKUP(
    "*TOTAL LOT*",
    INDIRECT("'"&amp;$A8&amp;"'!B:B"),
    INDIRECT("'"&amp;$A8&amp;"'!F:F"),
    "—",
    2,-1
  ),
  IFERROR(
    _xlfn.XLOOKUP(
      "TOTAL GENERAL TTC",
      INDIRECT("'"&amp;$A8&amp;"'!B:B"),
      INDIRECT("'"&amp;$A8&amp;"'!F:F"),
      "—",
      0,-1
    ),
  "—")
)</f>
        <v>575000</v>
      </c>
      <c r="E8" s="116" t="s">
        <v>388</v>
      </c>
    </row>
    <row r="9" spans="1:5" ht="30.95" customHeight="1" x14ac:dyDescent="0.35">
      <c r="A9" s="11" t="s">
        <v>21</v>
      </c>
      <c r="B9" s="170" t="str">
        <f>HYPERLINK("#'Lot 6'!A1", "Menuserie bois")</f>
        <v>Menuserie bois</v>
      </c>
      <c r="C9" s="11"/>
      <c r="D9" s="70">
        <f t="array" aca="1" ref="D9" ca="1">IFERROR(
  _xlfn.XLOOKUP(
    "*TOTAL LOT*",
    INDIRECT("'"&amp;$A9&amp;"'!B:B"),
    INDIRECT("'"&amp;$A9&amp;"'!F:F"),
    "—",
    2,-1
  ),
  IFERROR(
    _xlfn.XLOOKUP(
      "TOTAL GENERAL TTC",
      INDIRECT("'"&amp;$A9&amp;"'!B:B"),
      INDIRECT("'"&amp;$A9&amp;"'!F:F"),
      "—",
      0,-1
    ),
  "—")
)</f>
        <v>0</v>
      </c>
      <c r="E9" s="11"/>
    </row>
    <row r="10" spans="1:5" ht="30.95" customHeight="1" x14ac:dyDescent="0.35">
      <c r="A10" s="11" t="s">
        <v>527</v>
      </c>
      <c r="B10" s="170" t="str">
        <f>HYPERLINK("#'Lot 7'!A1", "Achat global électricité Chine")</f>
        <v>Achat global électricité Chine</v>
      </c>
      <c r="C10" s="11"/>
      <c r="D10" s="70" cm="1">
        <f t="array" aca="1" ref="D10" ca="1">IFERROR(
  _xlfn.XLOOKUP(
    "*TOTAL LOT*",
    INDIRECT("'"&amp;$A10&amp;"'!B:B"),
    INDIRECT("'"&amp;$A10&amp;"'!F:F"),
    "—",
    2,-1
  ),
  IFERROR(
    _xlfn.XLOOKUP(
      "TOTAL GENERAL TTC",
      INDIRECT("'"&amp;$A10&amp;"'!B:B"),
      INDIRECT("'"&amp;$A10&amp;"'!F:F"),
      "—",
      0,-1
    ),
  "—")
)</f>
        <v>37280608</v>
      </c>
      <c r="E10" s="116" t="s">
        <v>388</v>
      </c>
    </row>
    <row r="11" spans="1:5" ht="30.95" customHeight="1" x14ac:dyDescent="0.35">
      <c r="A11" s="11" t="s">
        <v>23</v>
      </c>
      <c r="B11" s="170" t="str">
        <f>HYPERLINK("#'Lot 8'!A1", "Climatisation")</f>
        <v>Climatisation</v>
      </c>
      <c r="C11" s="11" t="s">
        <v>22</v>
      </c>
      <c r="D11" s="70" cm="1">
        <f t="array" aca="1" ref="D11" ca="1">IFERROR(
  _xlfn.XLOOKUP(
    "*TOTAL LOT*",
    INDIRECT("'"&amp;$A11&amp;"'!B:B"),
    INDIRECT("'"&amp;$A11&amp;"'!F:F"),
    "—",
    2,-1
  ),
  IFERROR(
    _xlfn.XLOOKUP(
      "TOTAL GENERAL TTC",
      INDIRECT("'"&amp;$A11&amp;"'!B:B"),
      INDIRECT("'"&amp;$A11&amp;"'!F:F"),
      "—",
      0,-1
    ),
  "—")
)</f>
        <v>3270500</v>
      </c>
      <c r="E11" s="125" t="s">
        <v>387</v>
      </c>
    </row>
    <row r="12" spans="1:5" ht="30.95" customHeight="1" x14ac:dyDescent="0.35">
      <c r="A12" s="11" t="s">
        <v>24</v>
      </c>
      <c r="B12" s="170" t="str">
        <f>HYPERLINK("#'Lot 9'!A1", "Sécurité incendie")</f>
        <v>Sécurité incendie</v>
      </c>
      <c r="C12" s="11" t="s">
        <v>22</v>
      </c>
      <c r="D12" s="70">
        <f t="array" aca="1" ref="D12" ca="1">IFERROR(
  _xlfn.XLOOKUP(
    "*TOTAL LOT*",
    INDIRECT("'"&amp;$A12&amp;"'!B:B"),
    INDIRECT("'"&amp;$A12&amp;"'!F:F"),
    "—",
    2,-1
  ),
  IFERROR(
    _xlfn.XLOOKUP(
      "TOTAL GENERAL TTC",
      INDIRECT("'"&amp;$A12&amp;"'!B:B"),
      INDIRECT("'"&amp;$A12&amp;"'!F:F"),
      "—",
      0,-1
    ),
  "—")
)</f>
        <v>37222</v>
      </c>
      <c r="E12" s="12" t="s">
        <v>27</v>
      </c>
    </row>
    <row r="13" spans="1:5" ht="30.95" customHeight="1" x14ac:dyDescent="0.35">
      <c r="A13" s="11" t="s">
        <v>25</v>
      </c>
      <c r="B13" s="170" t="str">
        <f>HYPERLINK("#'Lot 10'!A1", "Plomberie / Sanitaires")</f>
        <v>Plomberie / Sanitaires</v>
      </c>
      <c r="C13" s="11" t="s">
        <v>26</v>
      </c>
      <c r="D13" s="71">
        <f t="array" aca="1" ref="D13" ca="1">IFERROR(
  _xlfn.XLOOKUP(
    "*TOTAL LOT*",
    INDIRECT("'"&amp;$A13&amp;"'!B:B"),
    INDIRECT("'"&amp;$A13&amp;"'!F:F"),
    "—",
    2,-1
  ),
  IFERROR(
    _xlfn.XLOOKUP(
      "TOTAL GENERAL TTC",
      INDIRECT("'"&amp;$A13&amp;"'!B:B"),
      INDIRECT("'"&amp;$A13&amp;"'!F:F"),
      "—",
      0,-1
    ),
  "—")
)</f>
        <v>9981300</v>
      </c>
      <c r="E13" s="169" t="s">
        <v>387</v>
      </c>
    </row>
    <row r="14" spans="1:5" ht="30.95" customHeight="1" x14ac:dyDescent="0.35">
      <c r="A14" s="11" t="s">
        <v>28</v>
      </c>
      <c r="B14" s="170" t="str">
        <f>HYPERLINK("#'Lot 11'!A1", "Faux plafond ")</f>
        <v xml:space="preserve">Faux plafond </v>
      </c>
      <c r="C14" s="11"/>
      <c r="D14" s="71">
        <f t="array" aca="1" ref="D14" ca="1">IFERROR(
  _xlfn.XLOOKUP(
    "*TOTAL LOT*",
    INDIRECT("'"&amp;$A14&amp;"'!B:B"),
    INDIRECT("'"&amp;$A14&amp;"'!F:F"),
    "—",
    2,-1
  ),
  IFERROR(
    _xlfn.XLOOKUP(
      "TOTAL GENERAL TTC",
      INDIRECT("'"&amp;$A14&amp;"'!B:B"),
      INDIRECT("'"&amp;$A14&amp;"'!F:F"),
      "—",
      0,-1
    ),
  "—")
)</f>
        <v>3036000</v>
      </c>
      <c r="E14" s="116" t="s">
        <v>388</v>
      </c>
    </row>
    <row r="15" spans="1:5" ht="30.95" customHeight="1" x14ac:dyDescent="0.35">
      <c r="A15" s="11" t="s">
        <v>29</v>
      </c>
      <c r="B15" s="170" t="str">
        <f>HYPERLINK("#'Lot 12'!A1", "Ascenseur ")</f>
        <v xml:space="preserve">Ascenseur </v>
      </c>
      <c r="C15" s="11" t="s">
        <v>20</v>
      </c>
      <c r="D15" s="70">
        <f t="array" aca="1" ref="D15" ca="1">IFERROR(
  _xlfn.XLOOKUP(
    "*TOTAL LOT*",
    INDIRECT("'"&amp;$A15&amp;"'!B:B"),
    INDIRECT("'"&amp;$A15&amp;"'!F:F"),
    "—",
    2,-1
  ),
  IFERROR(
    _xlfn.XLOOKUP(
      "TOTAL GENERAL TTC",
      INDIRECT("'"&amp;$A15&amp;"'!B:B"),
      INDIRECT("'"&amp;$A15&amp;"'!F:F"),
      "—",
      0,-1
    ),
  "—")
)</f>
        <v>25300000</v>
      </c>
      <c r="E15" s="127" t="s">
        <v>390</v>
      </c>
    </row>
    <row r="16" spans="1:5" ht="30.95" customHeight="1" x14ac:dyDescent="0.35">
      <c r="A16" s="11" t="s">
        <v>30</v>
      </c>
      <c r="B16" s="170" t="str">
        <f>HYPERLINK("#'Lot 13'!A1", "BARDAGE  (Revetement batiment) ")</f>
        <v xml:space="preserve">BARDAGE  (Revetement batiment) </v>
      </c>
      <c r="C16" s="11" t="s">
        <v>18</v>
      </c>
      <c r="D16" s="70">
        <f t="array" aca="1" ref="D16" ca="1">IFERROR(
  _xlfn.XLOOKUP(
    "*TOTAL LOT*",
    INDIRECT("'"&amp;$A16&amp;"'!B:B"),
    INDIRECT("'"&amp;$A16&amp;"'!F:F"),
    "—",
    2,-1
  ),
  IFERROR(
    _xlfn.XLOOKUP(
      "TOTAL GENERAL TTC",
      INDIRECT("'"&amp;$A16&amp;"'!B:B"),
      INDIRECT("'"&amp;$A16&amp;"'!F:F"),
      "—",
      0,-1
    ),
  "—")
)</f>
        <v>50000000</v>
      </c>
      <c r="E16" s="116" t="s">
        <v>388</v>
      </c>
    </row>
    <row r="17" spans="1:5" ht="30.95" customHeight="1" x14ac:dyDescent="0.35">
      <c r="A17" s="11" t="s">
        <v>31</v>
      </c>
      <c r="B17" s="170" t="str">
        <f>HYPERLINK("#'Lot 14'!A1", "Peinture ")</f>
        <v xml:space="preserve">Peinture </v>
      </c>
      <c r="C17" s="11" t="s">
        <v>13</v>
      </c>
      <c r="D17" s="70">
        <f t="array" aca="1" ref="D17" ca="1">IFERROR(
  _xlfn.XLOOKUP(
    "*TOTAL LOT*",
    INDIRECT("'"&amp;$A17&amp;"'!B:B"),
    INDIRECT("'"&amp;$A17&amp;"'!F:F"),
    "—",
    2,-1
  ),
  IFERROR(
    _xlfn.XLOOKUP(
      "TOTAL GENERAL TTC",
      INDIRECT("'"&amp;$A17&amp;"'!B:B"),
      INDIRECT("'"&amp;$A17&amp;"'!F:F"),
      "—",
      0,-1
    ),
  "—")
)</f>
        <v>12100000</v>
      </c>
      <c r="E17" s="116" t="s">
        <v>388</v>
      </c>
    </row>
    <row r="18" spans="1:5" ht="30.95" customHeight="1" x14ac:dyDescent="0.35">
      <c r="A18" s="11" t="s">
        <v>32</v>
      </c>
      <c r="B18" s="170" t="str">
        <f>HYPERLINK("#'Lot 15'!A1", "Vidéo surveillance")</f>
        <v>Vidéo surveillance</v>
      </c>
      <c r="C18" s="11" t="s">
        <v>20</v>
      </c>
      <c r="D18" s="70">
        <f t="array" aca="1" ref="D18" ca="1">IFERROR(
  _xlfn.XLOOKUP(
    "*TOTAL LOT*",
    INDIRECT("'"&amp;$A18&amp;"'!B:B"),
    INDIRECT("'"&amp;$A18&amp;"'!F:F"),
    "—",
    2,-1
  ),
  IFERROR(
    _xlfn.XLOOKUP(
      "TOTAL GENERAL TTC",
      INDIRECT("'"&amp;$A18&amp;"'!B:B"),
      INDIRECT("'"&amp;$A18&amp;"'!F:F"),
      "—",
      0,-1
    ),
  "—")
)</f>
        <v>1250000</v>
      </c>
      <c r="E18" s="116" t="s">
        <v>390</v>
      </c>
    </row>
    <row r="19" spans="1:5" ht="30.95" customHeight="1" x14ac:dyDescent="0.35">
      <c r="A19" s="11" t="s">
        <v>33</v>
      </c>
      <c r="B19" s="170" t="str">
        <f>HYPERLINK("#'Lot 16'!A1", "Panneau solaire")</f>
        <v>Panneau solaire</v>
      </c>
      <c r="C19" s="11" t="s">
        <v>20</v>
      </c>
      <c r="D19" s="70">
        <v>0</v>
      </c>
      <c r="E19" s="126" t="s">
        <v>459</v>
      </c>
    </row>
    <row r="20" spans="1:5" ht="30.95" customHeight="1" x14ac:dyDescent="0.35">
      <c r="A20" s="11" t="s">
        <v>34</v>
      </c>
      <c r="B20" s="170" t="str">
        <f>HYPERLINK("#'Lot 17'!A1", "Groupe eléctrogène")</f>
        <v>Groupe eléctrogène</v>
      </c>
      <c r="C20" s="11" t="s">
        <v>22</v>
      </c>
      <c r="D20" s="70">
        <f t="array" aca="1" ref="D20" ca="1">IFERROR(
  _xlfn.XLOOKUP(
    "*TOTAL LOT*",
    INDIRECT("'"&amp;$A20&amp;"'!B:B"),
    INDIRECT("'"&amp;$A20&amp;"'!F:F"),
    "—",
    2,-1
  ),
  IFERROR(
    _xlfn.XLOOKUP(
      "TOTAL GENERAL TTC",
      INDIRECT("'"&amp;$A20&amp;"'!B:B"),
      INDIRECT("'"&amp;$A20&amp;"'!F:F"),
      "—",
      0,-1
    ),
  "—")
)</f>
        <v>11000000</v>
      </c>
      <c r="E20" s="116" t="s">
        <v>390</v>
      </c>
    </row>
    <row r="21" spans="1:5" ht="30.95" customHeight="1" x14ac:dyDescent="0.35">
      <c r="A21" s="11" t="s">
        <v>35</v>
      </c>
      <c r="B21" s="170" t="str">
        <f>HYPERLINK("#'Lot 18'!A1", "VMC (VENTILATION MÉCANIQUE)")</f>
        <v>VMC (VENTILATION MÉCANIQUE)</v>
      </c>
      <c r="C21" s="11"/>
      <c r="D21" s="70">
        <v>0</v>
      </c>
      <c r="E21" s="12" t="s">
        <v>458</v>
      </c>
    </row>
    <row r="22" spans="1:5" ht="30.95" customHeight="1" x14ac:dyDescent="0.35">
      <c r="A22" s="11" t="s">
        <v>36</v>
      </c>
      <c r="B22" s="170" t="str">
        <f>HYPERLINK("#'Lot 19'!A1", "ISOLATION THERMIQUE FAÇADE EXTÉRIEURE")</f>
        <v>ISOLATION THERMIQUE FAÇADE EXTÉRIEURE</v>
      </c>
      <c r="C22" s="11" t="s">
        <v>20</v>
      </c>
      <c r="D22" s="70">
        <f t="array" aca="1" ref="D22" ca="1">IFERROR(
  _xlfn.XLOOKUP(
    "*TOTAL LOT*",
    INDIRECT("'"&amp;$A22&amp;"'!B:B"),
    INDIRECT("'"&amp;$A22&amp;"'!F:F"),
    "—",
    2,-1
  ),
  IFERROR(
    _xlfn.XLOOKUP(
      "TOTAL GENERAL TTC",
      INDIRECT("'"&amp;$A22&amp;"'!B:B"),
      INDIRECT("'"&amp;$A22&amp;"'!F:F"),
      "—",
      0,-1
    ),
  "—")
)</f>
        <v>8000000</v>
      </c>
      <c r="E22" s="116" t="s">
        <v>388</v>
      </c>
    </row>
    <row r="26" spans="1:5" ht="21" customHeight="1" x14ac:dyDescent="0.35">
      <c r="B26" s="41" t="s">
        <v>37</v>
      </c>
      <c r="D26" s="72">
        <f ca="1">SUM(D4:D22)</f>
        <v>254496840</v>
      </c>
    </row>
  </sheetData>
  <pageMargins left="0.3" right="0.3" top="0.5" bottom="0.5" header="0.5" footer="0.5"/>
  <pageSetup paperSize="9" scale="37" fitToHeight="0" orientation="portrait" horizontalDpi="4294967292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06043-A551-4401-A16F-919E23CCEC11}">
  <sheetPr>
    <pageSetUpPr fitToPage="1"/>
  </sheetPr>
  <dimension ref="A1:G81"/>
  <sheetViews>
    <sheetView topLeftCell="A49" workbookViewId="0">
      <selection activeCell="F34" sqref="F34"/>
    </sheetView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style="26" customWidth="1"/>
    <col min="5" max="5" width="32.42578125" style="26" customWidth="1"/>
    <col min="6" max="6" width="27" style="16" customWidth="1"/>
  </cols>
  <sheetData>
    <row r="1" spans="1:7" x14ac:dyDescent="0.25">
      <c r="A1" t="s">
        <v>544</v>
      </c>
    </row>
    <row r="10" spans="1:7" x14ac:dyDescent="0.25">
      <c r="A10" s="11" t="s">
        <v>38</v>
      </c>
      <c r="B10" s="11" t="s">
        <v>39</v>
      </c>
      <c r="C10" s="11" t="s">
        <v>40</v>
      </c>
      <c r="D10" s="27" t="s">
        <v>41</v>
      </c>
      <c r="E10" s="27" t="s">
        <v>121</v>
      </c>
      <c r="F10" s="17" t="s">
        <v>10</v>
      </c>
      <c r="G10" t="s">
        <v>47</v>
      </c>
    </row>
    <row r="12" spans="1:7" x14ac:dyDescent="0.25">
      <c r="A12" s="20" t="s">
        <v>181</v>
      </c>
      <c r="B12" s="20" t="s">
        <v>49</v>
      </c>
      <c r="C12" s="20"/>
      <c r="D12" s="28"/>
      <c r="E12" s="28"/>
      <c r="F12" s="35"/>
    </row>
    <row r="13" spans="1:7" x14ac:dyDescent="0.25">
      <c r="A13" s="11" t="s">
        <v>50</v>
      </c>
      <c r="B13" s="11" t="s">
        <v>51</v>
      </c>
      <c r="C13" s="11" t="s">
        <v>52</v>
      </c>
      <c r="D13" s="27">
        <v>1</v>
      </c>
      <c r="E13" s="17">
        <v>1200000</v>
      </c>
      <c r="F13" s="17">
        <v>1200000</v>
      </c>
    </row>
    <row r="14" spans="1:7" x14ac:dyDescent="0.25">
      <c r="A14" s="11" t="s">
        <v>53</v>
      </c>
      <c r="B14" s="11" t="s">
        <v>54</v>
      </c>
      <c r="C14" s="11" t="s">
        <v>52</v>
      </c>
      <c r="D14" s="27">
        <v>1</v>
      </c>
      <c r="E14" s="17">
        <v>960000</v>
      </c>
      <c r="F14" s="17">
        <v>960000</v>
      </c>
    </row>
    <row r="15" spans="1:7" x14ac:dyDescent="0.25">
      <c r="A15" s="11" t="s">
        <v>55</v>
      </c>
      <c r="B15" s="11" t="s">
        <v>56</v>
      </c>
      <c r="C15" s="11" t="s">
        <v>52</v>
      </c>
      <c r="D15" s="27">
        <v>1</v>
      </c>
      <c r="E15" s="17"/>
      <c r="F15" s="17"/>
      <c r="G15" s="25" t="s">
        <v>57</v>
      </c>
    </row>
    <row r="16" spans="1:7" x14ac:dyDescent="0.25">
      <c r="A16" s="11" t="s">
        <v>58</v>
      </c>
      <c r="B16" s="11" t="s">
        <v>371</v>
      </c>
      <c r="C16" s="11" t="s">
        <v>59</v>
      </c>
      <c r="D16" s="27">
        <v>480</v>
      </c>
      <c r="E16" s="17">
        <v>4200000</v>
      </c>
      <c r="F16" s="17">
        <v>4200000</v>
      </c>
    </row>
    <row r="17" spans="1:7" x14ac:dyDescent="0.25">
      <c r="A17" s="11" t="s">
        <v>60</v>
      </c>
      <c r="B17" s="11" t="s">
        <v>61</v>
      </c>
      <c r="C17" s="11" t="s">
        <v>52</v>
      </c>
      <c r="D17" s="27">
        <v>1</v>
      </c>
      <c r="E17" s="27"/>
      <c r="F17" s="17"/>
      <c r="G17" t="s">
        <v>57</v>
      </c>
    </row>
    <row r="18" spans="1:7" x14ac:dyDescent="0.25">
      <c r="A18" s="11" t="s">
        <v>62</v>
      </c>
      <c r="B18" s="11" t="s">
        <v>63</v>
      </c>
      <c r="C18" s="11" t="s">
        <v>52</v>
      </c>
      <c r="D18" s="27">
        <v>1</v>
      </c>
      <c r="E18" s="27"/>
      <c r="F18" s="17"/>
      <c r="G18" t="s">
        <v>57</v>
      </c>
    </row>
    <row r="19" spans="1:7" ht="18.75" customHeight="1" x14ac:dyDescent="0.3">
      <c r="A19" s="11"/>
      <c r="B19" s="11"/>
      <c r="C19" s="11"/>
      <c r="D19" s="27"/>
      <c r="E19" s="29" t="s">
        <v>64</v>
      </c>
      <c r="F19" s="39">
        <f>SUM(F13:F18)</f>
        <v>6360000</v>
      </c>
    </row>
    <row r="21" spans="1:7" x14ac:dyDescent="0.25">
      <c r="A21" s="21" t="s">
        <v>185</v>
      </c>
      <c r="B21" s="21" t="s">
        <v>65</v>
      </c>
      <c r="C21" s="21"/>
      <c r="D21" s="30"/>
      <c r="E21" s="30"/>
      <c r="F21" s="36"/>
    </row>
    <row r="22" spans="1:7" x14ac:dyDescent="0.25">
      <c r="A22" s="11" t="s">
        <v>66</v>
      </c>
      <c r="B22" s="11" t="s">
        <v>67</v>
      </c>
      <c r="C22" s="11" t="s">
        <v>68</v>
      </c>
      <c r="D22" s="27">
        <v>1</v>
      </c>
      <c r="E22" s="27">
        <v>1200000</v>
      </c>
      <c r="F22" s="17">
        <v>1200000</v>
      </c>
    </row>
    <row r="23" spans="1:7" x14ac:dyDescent="0.25">
      <c r="A23" s="11" t="s">
        <v>69</v>
      </c>
      <c r="B23" s="11" t="s">
        <v>70</v>
      </c>
      <c r="C23" s="11" t="s">
        <v>68</v>
      </c>
      <c r="D23" s="27">
        <v>1</v>
      </c>
      <c r="E23" s="27">
        <v>650000</v>
      </c>
      <c r="F23" s="17">
        <v>650000</v>
      </c>
    </row>
    <row r="24" spans="1:7" x14ac:dyDescent="0.25">
      <c r="A24" s="11" t="s">
        <v>71</v>
      </c>
      <c r="B24" s="11" t="s">
        <v>72</v>
      </c>
      <c r="C24" s="11" t="s">
        <v>59</v>
      </c>
      <c r="D24" s="27">
        <v>460</v>
      </c>
      <c r="E24" s="27">
        <v>2100</v>
      </c>
      <c r="F24" s="17">
        <v>966000</v>
      </c>
    </row>
    <row r="25" spans="1:7" ht="18.75" customHeight="1" x14ac:dyDescent="0.3">
      <c r="A25" s="11"/>
      <c r="B25" s="11"/>
      <c r="C25" s="11"/>
      <c r="D25" s="27"/>
      <c r="E25" s="29" t="s">
        <v>73</v>
      </c>
      <c r="F25" s="17">
        <f>SUM(F22:F24)</f>
        <v>2816000</v>
      </c>
    </row>
    <row r="26" spans="1:7" ht="18.75" customHeight="1" x14ac:dyDescent="0.3">
      <c r="A26" s="11"/>
      <c r="B26" s="11"/>
      <c r="C26" s="11"/>
      <c r="D26" s="27"/>
      <c r="E26" s="29"/>
      <c r="F26" s="17"/>
    </row>
    <row r="27" spans="1:7" x14ac:dyDescent="0.25">
      <c r="A27" s="22" t="s">
        <v>187</v>
      </c>
      <c r="B27" s="22" t="s">
        <v>556</v>
      </c>
      <c r="C27" s="22"/>
      <c r="D27" s="22"/>
      <c r="E27" s="22"/>
      <c r="F27" s="22"/>
    </row>
    <row r="28" spans="1:7" x14ac:dyDescent="0.25">
      <c r="A28" s="183" t="s">
        <v>552</v>
      </c>
      <c r="B28" s="186" t="s">
        <v>554</v>
      </c>
      <c r="C28" s="183"/>
      <c r="D28" s="184"/>
      <c r="E28" s="184"/>
      <c r="F28" s="185"/>
    </row>
    <row r="29" spans="1:7" x14ac:dyDescent="0.25">
      <c r="A29" s="11" t="s">
        <v>76</v>
      </c>
      <c r="B29" s="11" t="s">
        <v>77</v>
      </c>
      <c r="C29" s="11" t="s">
        <v>74</v>
      </c>
      <c r="D29" s="27">
        <v>35</v>
      </c>
      <c r="E29" s="27">
        <v>130000</v>
      </c>
      <c r="F29" s="17">
        <v>0</v>
      </c>
    </row>
    <row r="30" spans="1:7" x14ac:dyDescent="0.25">
      <c r="A30" s="11" t="s">
        <v>78</v>
      </c>
      <c r="B30" s="11" t="s">
        <v>79</v>
      </c>
      <c r="C30" s="11" t="s">
        <v>59</v>
      </c>
      <c r="D30" s="27">
        <v>70</v>
      </c>
      <c r="E30" s="27">
        <v>14000</v>
      </c>
      <c r="F30" s="17">
        <v>0</v>
      </c>
    </row>
    <row r="31" spans="1:7" x14ac:dyDescent="0.25">
      <c r="A31" s="11" t="s">
        <v>80</v>
      </c>
      <c r="B31" s="11" t="s">
        <v>81</v>
      </c>
      <c r="C31" s="11" t="s">
        <v>75</v>
      </c>
      <c r="D31" s="27">
        <v>2436</v>
      </c>
      <c r="E31" s="27">
        <v>1300</v>
      </c>
      <c r="F31" s="17">
        <v>0</v>
      </c>
    </row>
    <row r="32" spans="1:7" x14ac:dyDescent="0.25">
      <c r="A32" s="11" t="s">
        <v>82</v>
      </c>
      <c r="B32" s="11" t="s">
        <v>83</v>
      </c>
      <c r="C32" s="11" t="s">
        <v>59</v>
      </c>
      <c r="D32" s="27">
        <v>72</v>
      </c>
      <c r="E32" s="27">
        <v>60000</v>
      </c>
      <c r="F32" s="17">
        <v>0</v>
      </c>
    </row>
    <row r="33" spans="1:6" ht="18.75" customHeight="1" x14ac:dyDescent="0.3">
      <c r="A33" s="11"/>
      <c r="B33" s="11"/>
      <c r="C33" s="11"/>
      <c r="D33" s="27"/>
      <c r="E33" s="29" t="s">
        <v>557</v>
      </c>
      <c r="F33" s="39">
        <f>SUM(F29:F32)</f>
        <v>0</v>
      </c>
    </row>
    <row r="34" spans="1:6" x14ac:dyDescent="0.25">
      <c r="A34" s="11"/>
      <c r="B34" s="11"/>
      <c r="C34" s="11"/>
      <c r="D34" s="27"/>
      <c r="E34" s="27"/>
      <c r="F34" s="17"/>
    </row>
    <row r="35" spans="1:6" x14ac:dyDescent="0.25">
      <c r="A35" s="23" t="s">
        <v>553</v>
      </c>
      <c r="B35" s="23" t="s">
        <v>555</v>
      </c>
      <c r="C35" s="23"/>
      <c r="D35" s="32"/>
      <c r="E35" s="32"/>
      <c r="F35" s="37"/>
    </row>
    <row r="36" spans="1:6" x14ac:dyDescent="0.25">
      <c r="A36" s="11" t="s">
        <v>84</v>
      </c>
      <c r="B36" s="11" t="s">
        <v>85</v>
      </c>
      <c r="C36" s="11" t="s">
        <v>74</v>
      </c>
      <c r="D36" s="27">
        <v>30.3</v>
      </c>
      <c r="E36" s="27">
        <v>130000</v>
      </c>
      <c r="F36" s="17">
        <v>3939000</v>
      </c>
    </row>
    <row r="37" spans="1:6" x14ac:dyDescent="0.25">
      <c r="A37" s="11" t="s">
        <v>86</v>
      </c>
      <c r="B37" s="11" t="s">
        <v>87</v>
      </c>
      <c r="C37" s="11" t="s">
        <v>59</v>
      </c>
      <c r="D37" s="27">
        <v>11</v>
      </c>
      <c r="E37" s="27">
        <v>14000</v>
      </c>
      <c r="F37" s="17">
        <v>154000</v>
      </c>
    </row>
    <row r="38" spans="1:6" x14ac:dyDescent="0.25">
      <c r="A38" s="11" t="s">
        <v>88</v>
      </c>
      <c r="B38" s="11" t="s">
        <v>89</v>
      </c>
      <c r="C38" s="11" t="s">
        <v>75</v>
      </c>
      <c r="D38" s="27">
        <v>1818</v>
      </c>
      <c r="E38" s="94">
        <v>1300</v>
      </c>
      <c r="F38" s="17">
        <v>3363300</v>
      </c>
    </row>
    <row r="39" spans="1:6" ht="18.75" customHeight="1" x14ac:dyDescent="0.3">
      <c r="A39" s="11"/>
      <c r="B39" s="11"/>
      <c r="C39" s="11"/>
      <c r="D39" s="27"/>
      <c r="E39" s="29" t="s">
        <v>558</v>
      </c>
      <c r="F39" s="39">
        <f>SUM(F36:F38)</f>
        <v>7456300</v>
      </c>
    </row>
    <row r="40" spans="1:6" ht="18.75" customHeight="1" x14ac:dyDescent="0.3">
      <c r="A40" s="11"/>
      <c r="B40" s="11"/>
      <c r="C40" s="11"/>
      <c r="D40" s="27"/>
      <c r="E40" s="29"/>
      <c r="F40" s="39"/>
    </row>
    <row r="41" spans="1:6" x14ac:dyDescent="0.25">
      <c r="A41" s="11" t="s">
        <v>193</v>
      </c>
      <c r="B41" s="11" t="s">
        <v>551</v>
      </c>
      <c r="C41" s="11"/>
      <c r="D41" s="27"/>
      <c r="E41" s="27"/>
      <c r="F41" s="17"/>
    </row>
    <row r="42" spans="1:6" x14ac:dyDescent="0.25">
      <c r="A42" s="24"/>
      <c r="B42" s="24" t="s">
        <v>90</v>
      </c>
      <c r="C42" s="24"/>
      <c r="D42" s="33"/>
      <c r="E42" s="33"/>
      <c r="F42" s="38"/>
    </row>
    <row r="43" spans="1:6" x14ac:dyDescent="0.25">
      <c r="A43" s="11" t="s">
        <v>91</v>
      </c>
      <c r="B43" s="92" t="s">
        <v>367</v>
      </c>
      <c r="C43" s="11" t="s">
        <v>59</v>
      </c>
      <c r="D43" s="27">
        <v>573</v>
      </c>
      <c r="E43" s="27">
        <v>11000</v>
      </c>
      <c r="F43" s="17">
        <f>E43*D43</f>
        <v>6303000</v>
      </c>
    </row>
    <row r="44" spans="1:6" x14ac:dyDescent="0.25">
      <c r="A44" s="11" t="s">
        <v>92</v>
      </c>
      <c r="B44" s="93" t="s">
        <v>368</v>
      </c>
      <c r="C44" s="11" t="s">
        <v>59</v>
      </c>
      <c r="D44" s="27">
        <v>573</v>
      </c>
      <c r="E44" s="27">
        <v>9500</v>
      </c>
      <c r="F44" s="17">
        <f>E44*D44</f>
        <v>5443500</v>
      </c>
    </row>
    <row r="45" spans="1:6" x14ac:dyDescent="0.25">
      <c r="A45" s="11" t="s">
        <v>93</v>
      </c>
      <c r="B45" s="11" t="s">
        <v>94</v>
      </c>
      <c r="C45" s="11" t="s">
        <v>59</v>
      </c>
      <c r="D45" s="27">
        <v>30</v>
      </c>
      <c r="E45" s="27">
        <v>13500</v>
      </c>
      <c r="F45" s="17">
        <v>0</v>
      </c>
    </row>
    <row r="46" spans="1:6" x14ac:dyDescent="0.25">
      <c r="A46" s="11" t="s">
        <v>95</v>
      </c>
      <c r="B46" s="11" t="s">
        <v>96</v>
      </c>
      <c r="C46" s="11" t="s">
        <v>52</v>
      </c>
      <c r="D46" s="27">
        <v>1</v>
      </c>
      <c r="E46" s="27"/>
      <c r="F46" s="17"/>
    </row>
    <row r="47" spans="1:6" x14ac:dyDescent="0.25">
      <c r="A47" s="11" t="s">
        <v>97</v>
      </c>
      <c r="B47" s="11" t="s">
        <v>98</v>
      </c>
      <c r="C47" s="11" t="s">
        <v>52</v>
      </c>
      <c r="D47" s="27">
        <v>1</v>
      </c>
      <c r="E47" s="27"/>
      <c r="F47" s="17"/>
    </row>
    <row r="48" spans="1:6" x14ac:dyDescent="0.25">
      <c r="A48" s="11" t="s">
        <v>99</v>
      </c>
      <c r="B48" s="11" t="s">
        <v>100</v>
      </c>
      <c r="C48" s="11" t="s">
        <v>74</v>
      </c>
      <c r="D48" s="27">
        <v>5.6</v>
      </c>
      <c r="E48" s="27">
        <v>130000</v>
      </c>
      <c r="F48" s="17">
        <v>728000</v>
      </c>
    </row>
    <row r="49" spans="1:6" x14ac:dyDescent="0.25">
      <c r="A49" s="11" t="s">
        <v>101</v>
      </c>
      <c r="B49" s="11" t="s">
        <v>102</v>
      </c>
      <c r="C49" s="11" t="s">
        <v>59</v>
      </c>
      <c r="D49" s="27">
        <v>5</v>
      </c>
      <c r="E49" s="27">
        <v>17000</v>
      </c>
      <c r="F49" s="17">
        <v>85000</v>
      </c>
    </row>
    <row r="50" spans="1:6" x14ac:dyDescent="0.25">
      <c r="A50" s="11" t="s">
        <v>103</v>
      </c>
      <c r="B50" s="11" t="s">
        <v>104</v>
      </c>
      <c r="C50" s="11" t="s">
        <v>74</v>
      </c>
      <c r="D50" s="27">
        <v>1.5</v>
      </c>
      <c r="E50" s="27">
        <v>140000</v>
      </c>
      <c r="F50" s="17">
        <v>210000</v>
      </c>
    </row>
    <row r="51" spans="1:6" x14ac:dyDescent="0.25">
      <c r="A51" s="11" t="s">
        <v>105</v>
      </c>
      <c r="B51" s="11" t="s">
        <v>106</v>
      </c>
      <c r="C51" s="11" t="s">
        <v>59</v>
      </c>
      <c r="D51" s="27">
        <v>18</v>
      </c>
      <c r="E51" s="27">
        <v>14000</v>
      </c>
      <c r="F51" s="17">
        <v>250000</v>
      </c>
    </row>
    <row r="52" spans="1:6" x14ac:dyDescent="0.25">
      <c r="A52" s="11" t="s">
        <v>107</v>
      </c>
      <c r="B52" s="11" t="s">
        <v>108</v>
      </c>
      <c r="C52" s="11" t="s">
        <v>75</v>
      </c>
      <c r="D52" s="27">
        <v>84</v>
      </c>
      <c r="E52" s="94">
        <v>1300</v>
      </c>
      <c r="F52" s="17">
        <v>155400</v>
      </c>
    </row>
    <row r="53" spans="1:6" x14ac:dyDescent="0.25">
      <c r="A53" s="11" t="s">
        <v>109</v>
      </c>
      <c r="B53" s="92" t="s">
        <v>369</v>
      </c>
      <c r="C53" s="11" t="s">
        <v>59</v>
      </c>
      <c r="D53" s="27">
        <v>152</v>
      </c>
      <c r="E53" s="27">
        <v>11000</v>
      </c>
      <c r="F53" s="17">
        <f>E53*D53</f>
        <v>1672000</v>
      </c>
    </row>
    <row r="54" spans="1:6" ht="20.25" customHeight="1" x14ac:dyDescent="0.25">
      <c r="A54" s="11" t="s">
        <v>110</v>
      </c>
      <c r="B54" s="93" t="s">
        <v>370</v>
      </c>
      <c r="C54" s="11" t="s">
        <v>59</v>
      </c>
      <c r="D54" s="27">
        <v>277.5</v>
      </c>
      <c r="E54" s="27">
        <v>9500</v>
      </c>
      <c r="F54" s="17">
        <f>E54*D54</f>
        <v>2636250</v>
      </c>
    </row>
    <row r="55" spans="1:6" x14ac:dyDescent="0.25">
      <c r="A55" s="11" t="s">
        <v>111</v>
      </c>
      <c r="B55" s="11" t="s">
        <v>112</v>
      </c>
      <c r="C55" s="11" t="s">
        <v>59</v>
      </c>
      <c r="D55" s="27">
        <v>180</v>
      </c>
      <c r="E55" s="27">
        <v>13500</v>
      </c>
      <c r="F55" s="17">
        <v>2430000</v>
      </c>
    </row>
    <row r="56" spans="1:6" x14ac:dyDescent="0.25">
      <c r="A56" s="11" t="s">
        <v>113</v>
      </c>
      <c r="B56" s="11" t="s">
        <v>114</v>
      </c>
      <c r="C56" s="11" t="s">
        <v>59</v>
      </c>
      <c r="D56" s="43" t="s">
        <v>68</v>
      </c>
      <c r="E56" s="43" t="s">
        <v>68</v>
      </c>
      <c r="F56" s="17">
        <v>180000</v>
      </c>
    </row>
    <row r="57" spans="1:6" ht="18.75" customHeight="1" x14ac:dyDescent="0.3">
      <c r="E57" s="34" t="s">
        <v>115</v>
      </c>
      <c r="F57" s="40">
        <f>SUM(F43:F56)</f>
        <v>20093150</v>
      </c>
    </row>
    <row r="58" spans="1:6" x14ac:dyDescent="0.25">
      <c r="A58" s="24"/>
      <c r="B58" s="24" t="s">
        <v>550</v>
      </c>
      <c r="C58" s="24"/>
      <c r="D58" s="33"/>
      <c r="E58" s="33"/>
      <c r="F58" s="38"/>
    </row>
    <row r="59" spans="1:6" x14ac:dyDescent="0.25">
      <c r="A59" s="11" t="s">
        <v>91</v>
      </c>
      <c r="B59" s="92" t="s">
        <v>367</v>
      </c>
      <c r="C59" s="11" t="s">
        <v>59</v>
      </c>
      <c r="D59" s="27">
        <v>573</v>
      </c>
      <c r="E59" s="27">
        <v>11000</v>
      </c>
      <c r="F59" s="17">
        <f>E59*D59</f>
        <v>6303000</v>
      </c>
    </row>
    <row r="60" spans="1:6" x14ac:dyDescent="0.25">
      <c r="A60" s="11" t="s">
        <v>92</v>
      </c>
      <c r="B60" s="93" t="s">
        <v>368</v>
      </c>
      <c r="C60" s="11" t="s">
        <v>59</v>
      </c>
      <c r="D60" s="27">
        <v>573</v>
      </c>
      <c r="E60" s="27">
        <v>9500</v>
      </c>
      <c r="F60" s="17">
        <f>E60*D60</f>
        <v>5443500</v>
      </c>
    </row>
    <row r="61" spans="1:6" x14ac:dyDescent="0.25">
      <c r="A61" s="11" t="s">
        <v>93</v>
      </c>
      <c r="B61" s="11" t="s">
        <v>94</v>
      </c>
      <c r="C61" s="11" t="s">
        <v>59</v>
      </c>
      <c r="D61" s="27">
        <v>30</v>
      </c>
      <c r="E61" s="27">
        <v>13500</v>
      </c>
      <c r="F61" s="17">
        <v>0</v>
      </c>
    </row>
    <row r="62" spans="1:6" x14ac:dyDescent="0.25">
      <c r="A62" s="11" t="s">
        <v>95</v>
      </c>
      <c r="B62" s="11" t="s">
        <v>96</v>
      </c>
      <c r="C62" s="11" t="s">
        <v>52</v>
      </c>
      <c r="D62" s="27">
        <v>1</v>
      </c>
      <c r="E62" s="27"/>
      <c r="F62" s="17"/>
    </row>
    <row r="63" spans="1:6" x14ac:dyDescent="0.25">
      <c r="A63" s="11" t="s">
        <v>97</v>
      </c>
      <c r="B63" s="11" t="s">
        <v>98</v>
      </c>
      <c r="C63" s="11" t="s">
        <v>52</v>
      </c>
      <c r="D63" s="27">
        <v>1</v>
      </c>
      <c r="E63" s="27"/>
      <c r="F63" s="17"/>
    </row>
    <row r="64" spans="1:6" x14ac:dyDescent="0.25">
      <c r="A64" s="11" t="s">
        <v>99</v>
      </c>
      <c r="B64" s="11" t="s">
        <v>100</v>
      </c>
      <c r="C64" s="11" t="s">
        <v>74</v>
      </c>
      <c r="D64" s="27">
        <v>5.6</v>
      </c>
      <c r="E64" s="27">
        <v>130000</v>
      </c>
      <c r="F64" s="17">
        <v>728000</v>
      </c>
    </row>
    <row r="65" spans="1:6" x14ac:dyDescent="0.25">
      <c r="A65" s="11" t="s">
        <v>101</v>
      </c>
      <c r="B65" s="11" t="s">
        <v>102</v>
      </c>
      <c r="C65" s="11" t="s">
        <v>59</v>
      </c>
      <c r="D65" s="27">
        <v>5</v>
      </c>
      <c r="E65" s="27">
        <v>17000</v>
      </c>
      <c r="F65" s="17">
        <v>85000</v>
      </c>
    </row>
    <row r="66" spans="1:6" x14ac:dyDescent="0.25">
      <c r="A66" s="11" t="s">
        <v>103</v>
      </c>
      <c r="B66" s="11" t="s">
        <v>104</v>
      </c>
      <c r="C66" s="11" t="s">
        <v>74</v>
      </c>
      <c r="D66" s="27">
        <v>1.5</v>
      </c>
      <c r="E66" s="27">
        <v>140000</v>
      </c>
      <c r="F66" s="17">
        <v>210000</v>
      </c>
    </row>
    <row r="67" spans="1:6" x14ac:dyDescent="0.25">
      <c r="A67" s="11" t="s">
        <v>105</v>
      </c>
      <c r="B67" s="11" t="s">
        <v>106</v>
      </c>
      <c r="C67" s="11" t="s">
        <v>59</v>
      </c>
      <c r="D67" s="27">
        <v>18</v>
      </c>
      <c r="E67" s="27">
        <v>14000</v>
      </c>
      <c r="F67" s="17">
        <v>250000</v>
      </c>
    </row>
    <row r="68" spans="1:6" x14ac:dyDescent="0.25">
      <c r="A68" s="11" t="s">
        <v>107</v>
      </c>
      <c r="B68" s="11" t="s">
        <v>108</v>
      </c>
      <c r="C68" s="11" t="s">
        <v>75</v>
      </c>
      <c r="D68" s="27">
        <v>84</v>
      </c>
      <c r="E68" s="94">
        <v>1300</v>
      </c>
      <c r="F68" s="17">
        <v>155400</v>
      </c>
    </row>
    <row r="69" spans="1:6" x14ac:dyDescent="0.25">
      <c r="A69" s="11" t="s">
        <v>109</v>
      </c>
      <c r="B69" s="92" t="s">
        <v>369</v>
      </c>
      <c r="C69" s="11" t="s">
        <v>59</v>
      </c>
      <c r="D69" s="27">
        <v>152</v>
      </c>
      <c r="E69" s="27">
        <v>11000</v>
      </c>
      <c r="F69" s="17">
        <f>E69*D69</f>
        <v>1672000</v>
      </c>
    </row>
    <row r="70" spans="1:6" ht="20.25" customHeight="1" x14ac:dyDescent="0.25">
      <c r="A70" s="11" t="s">
        <v>110</v>
      </c>
      <c r="B70" s="93" t="s">
        <v>370</v>
      </c>
      <c r="C70" s="11" t="s">
        <v>59</v>
      </c>
      <c r="D70" s="27">
        <v>277.5</v>
      </c>
      <c r="E70" s="27">
        <v>9500</v>
      </c>
      <c r="F70" s="17">
        <f>E70*D70</f>
        <v>2636250</v>
      </c>
    </row>
    <row r="71" spans="1:6" x14ac:dyDescent="0.25">
      <c r="A71" s="11" t="s">
        <v>111</v>
      </c>
      <c r="B71" s="11" t="s">
        <v>112</v>
      </c>
      <c r="C71" s="11" t="s">
        <v>59</v>
      </c>
      <c r="D71" s="27">
        <v>180</v>
      </c>
      <c r="E71" s="27">
        <v>13500</v>
      </c>
      <c r="F71" s="17">
        <v>2430000</v>
      </c>
    </row>
    <row r="72" spans="1:6" x14ac:dyDescent="0.25">
      <c r="A72" s="11" t="s">
        <v>113</v>
      </c>
      <c r="B72" s="11" t="s">
        <v>114</v>
      </c>
      <c r="C72" s="11" t="s">
        <v>59</v>
      </c>
      <c r="D72" s="43" t="s">
        <v>68</v>
      </c>
      <c r="E72" s="43" t="s">
        <v>68</v>
      </c>
      <c r="F72" s="17">
        <v>180000</v>
      </c>
    </row>
    <row r="73" spans="1:6" ht="18.75" customHeight="1" x14ac:dyDescent="0.3">
      <c r="E73" s="34" t="s">
        <v>115</v>
      </c>
      <c r="F73" s="40">
        <f>SUM(F59:F72)</f>
        <v>20093150</v>
      </c>
    </row>
    <row r="75" spans="1:6" ht="21" customHeight="1" x14ac:dyDescent="0.35">
      <c r="B75" s="41" t="s">
        <v>116</v>
      </c>
      <c r="F75" s="42">
        <f>F19+F25+F33+F39+F57</f>
        <v>36725450</v>
      </c>
    </row>
    <row r="77" spans="1:6" x14ac:dyDescent="0.25">
      <c r="B77" t="s">
        <v>117</v>
      </c>
    </row>
    <row r="78" spans="1:6" x14ac:dyDescent="0.25">
      <c r="B78" t="s">
        <v>118</v>
      </c>
    </row>
    <row r="79" spans="1:6" x14ac:dyDescent="0.25">
      <c r="B79" t="s">
        <v>119</v>
      </c>
    </row>
    <row r="81" spans="2:2" x14ac:dyDescent="0.25">
      <c r="B81" t="s">
        <v>120</v>
      </c>
    </row>
  </sheetData>
  <pageMargins left="0.3" right="0.3" top="0.5" bottom="0.5" header="0.5" footer="0.5"/>
  <pageSetup paperSize="9" scale="88" fitToHeight="0" orientation="landscape" horizontalDpi="4294967292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26"/>
  <sheetViews>
    <sheetView workbookViewId="0"/>
  </sheetViews>
  <sheetFormatPr baseColWidth="10" defaultColWidth="9.140625" defaultRowHeight="15" x14ac:dyDescent="0.25"/>
  <cols>
    <col min="1" max="1" width="7.5703125" style="56" customWidth="1"/>
    <col min="2" max="2" width="86.5703125" customWidth="1"/>
    <col min="3" max="3" width="10" customWidth="1"/>
    <col min="4" max="4" width="12" style="26" customWidth="1"/>
    <col min="5" max="5" width="18" style="26" customWidth="1"/>
    <col min="6" max="6" width="26.42578125" style="26" customWidth="1"/>
    <col min="7" max="7" width="19" style="26" customWidth="1"/>
    <col min="8" max="8" width="20.85546875" style="26" customWidth="1"/>
    <col min="9" max="9" width="23.28515625" customWidth="1"/>
  </cols>
  <sheetData>
    <row r="1" spans="1:14" ht="18.75" customHeight="1" x14ac:dyDescent="0.3">
      <c r="A1" s="73" t="s">
        <v>122</v>
      </c>
    </row>
    <row r="2" spans="1:14" ht="18.75" customHeight="1" x14ac:dyDescent="0.3">
      <c r="A2" s="174"/>
      <c r="B2" s="173"/>
    </row>
    <row r="3" spans="1:14" ht="18.75" customHeight="1" x14ac:dyDescent="0.3">
      <c r="A3" s="174"/>
      <c r="B3" s="173"/>
    </row>
    <row r="4" spans="1:14" ht="18.75" customHeight="1" x14ac:dyDescent="0.3">
      <c r="A4" s="174"/>
      <c r="B4" s="173"/>
    </row>
    <row r="5" spans="1:14" ht="18.75" customHeight="1" x14ac:dyDescent="0.3">
      <c r="A5" s="174"/>
      <c r="B5" s="173"/>
    </row>
    <row r="6" spans="1:14" ht="18.75" customHeight="1" x14ac:dyDescent="0.3">
      <c r="A6" s="73"/>
      <c r="B6" s="50"/>
    </row>
    <row r="7" spans="1:14" ht="18.75" customHeight="1" x14ac:dyDescent="0.3">
      <c r="A7" s="73"/>
      <c r="B7" s="50"/>
    </row>
    <row r="8" spans="1:14" ht="18.75" customHeight="1" x14ac:dyDescent="0.3">
      <c r="A8" s="174"/>
      <c r="B8" s="173"/>
    </row>
    <row r="9" spans="1:14" ht="18.75" customHeight="1" x14ac:dyDescent="0.3">
      <c r="A9" s="74"/>
    </row>
    <row r="10" spans="1:14" ht="18.75" customHeight="1" x14ac:dyDescent="0.3">
      <c r="A10" s="79" t="s">
        <v>38</v>
      </c>
      <c r="B10" s="80" t="s">
        <v>39</v>
      </c>
      <c r="C10" s="81" t="s">
        <v>40</v>
      </c>
      <c r="D10" s="82" t="s">
        <v>41</v>
      </c>
      <c r="E10" s="82" t="s">
        <v>42</v>
      </c>
      <c r="F10" s="82" t="s">
        <v>43</v>
      </c>
      <c r="G10" s="82" t="s">
        <v>44</v>
      </c>
      <c r="H10" s="82" t="s">
        <v>45</v>
      </c>
      <c r="I10" s="81" t="s">
        <v>46</v>
      </c>
      <c r="J10" s="81" t="s">
        <v>123</v>
      </c>
      <c r="K10" s="11"/>
      <c r="L10" s="11"/>
      <c r="M10" s="11"/>
      <c r="N10" s="11"/>
    </row>
    <row r="11" spans="1:14" x14ac:dyDescent="0.25">
      <c r="A11" s="19">
        <v>1</v>
      </c>
      <c r="B11" s="83" t="s">
        <v>124</v>
      </c>
      <c r="C11" s="11"/>
      <c r="D11" s="27"/>
      <c r="E11" s="27"/>
      <c r="F11" s="27"/>
      <c r="G11" s="27">
        <v>0</v>
      </c>
      <c r="H11" s="27">
        <v>0</v>
      </c>
      <c r="I11" s="11">
        <v>0</v>
      </c>
      <c r="J11" s="11"/>
      <c r="K11" s="11"/>
      <c r="L11" s="11"/>
      <c r="M11" s="11"/>
      <c r="N11" s="11"/>
    </row>
    <row r="12" spans="1:14" x14ac:dyDescent="0.25">
      <c r="A12" t="s">
        <v>125</v>
      </c>
      <c r="C12" s="11"/>
      <c r="D12" s="27"/>
      <c r="E12" s="27"/>
      <c r="F12" s="27"/>
      <c r="G12" s="27"/>
      <c r="H12" s="27"/>
      <c r="I12" s="11"/>
      <c r="J12" s="11"/>
      <c r="K12" s="11"/>
      <c r="L12" s="11"/>
      <c r="M12" s="11"/>
      <c r="N12" s="11"/>
    </row>
    <row r="13" spans="1:14" x14ac:dyDescent="0.25">
      <c r="A13" s="11" t="s">
        <v>126</v>
      </c>
      <c r="B13" s="83" t="s">
        <v>127</v>
      </c>
      <c r="C13" s="11" t="s">
        <v>59</v>
      </c>
      <c r="D13" s="27">
        <v>500</v>
      </c>
      <c r="E13" s="27">
        <v>10432</v>
      </c>
      <c r="F13" s="27">
        <v>5216000</v>
      </c>
      <c r="G13" s="27">
        <v>4143</v>
      </c>
      <c r="H13" s="27">
        <v>2071429</v>
      </c>
      <c r="I13" s="11">
        <v>3144571</v>
      </c>
      <c r="J13" s="11" t="s">
        <v>128</v>
      </c>
      <c r="K13" s="11"/>
      <c r="L13" s="11"/>
      <c r="M13" s="11"/>
      <c r="N13" s="11"/>
    </row>
    <row r="14" spans="1:14" x14ac:dyDescent="0.25">
      <c r="A14" t="s">
        <v>129</v>
      </c>
      <c r="C14" s="11"/>
      <c r="D14" s="27"/>
      <c r="E14" s="27"/>
      <c r="F14" s="27"/>
      <c r="G14" s="27"/>
      <c r="H14" s="27"/>
      <c r="I14" s="11"/>
      <c r="J14" s="11"/>
      <c r="K14" s="11"/>
      <c r="L14" s="11"/>
      <c r="M14" s="11"/>
      <c r="N14" s="11"/>
    </row>
    <row r="15" spans="1:14" x14ac:dyDescent="0.25">
      <c r="A15" t="s">
        <v>130</v>
      </c>
      <c r="B15" s="83" t="s">
        <v>131</v>
      </c>
      <c r="C15" s="11" t="s">
        <v>59</v>
      </c>
      <c r="D15" s="27">
        <v>200</v>
      </c>
      <c r="E15" s="27">
        <v>10432</v>
      </c>
      <c r="F15" s="27">
        <v>2086400</v>
      </c>
      <c r="G15" s="27">
        <v>4143</v>
      </c>
      <c r="H15" s="27">
        <v>828571</v>
      </c>
      <c r="I15" s="11">
        <v>1257829</v>
      </c>
      <c r="J15" s="11" t="s">
        <v>128</v>
      </c>
      <c r="K15" s="11"/>
      <c r="L15" s="11"/>
      <c r="M15" s="11"/>
      <c r="N15" s="11"/>
    </row>
    <row r="18" spans="2:9" ht="21" x14ac:dyDescent="0.35">
      <c r="B18" s="75" t="s">
        <v>132</v>
      </c>
      <c r="F18" s="84">
        <f>SUM(F11:F15)</f>
        <v>7302400</v>
      </c>
      <c r="H18" s="84">
        <f>SUM(H11:H15)</f>
        <v>2900000</v>
      </c>
      <c r="I18" s="85">
        <f>SUM(I11:I15)</f>
        <v>4402400</v>
      </c>
    </row>
    <row r="22" spans="2:9" x14ac:dyDescent="0.25">
      <c r="B22" t="s">
        <v>117</v>
      </c>
    </row>
    <row r="23" spans="2:9" x14ac:dyDescent="0.25">
      <c r="B23" t="s">
        <v>118</v>
      </c>
    </row>
    <row r="24" spans="2:9" x14ac:dyDescent="0.25">
      <c r="B24" t="s">
        <v>119</v>
      </c>
    </row>
    <row r="26" spans="2:9" x14ac:dyDescent="0.25">
      <c r="B26" t="s">
        <v>120</v>
      </c>
    </row>
  </sheetData>
  <mergeCells count="5">
    <mergeCell ref="A3:B3"/>
    <mergeCell ref="A4:B4"/>
    <mergeCell ref="A5:B5"/>
    <mergeCell ref="A8:B8"/>
    <mergeCell ref="A2:B2"/>
  </mergeCells>
  <pageMargins left="0.3" right="0.3" top="0.5" bottom="0.5" header="0.5" footer="0.5"/>
  <pageSetup paperSize="9" scale="52" fitToHeight="0" orientation="landscape" horizontalDpi="4294967292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8"/>
  <sheetViews>
    <sheetView workbookViewId="0"/>
  </sheetViews>
  <sheetFormatPr baseColWidth="10" defaultColWidth="9.140625" defaultRowHeight="15" x14ac:dyDescent="0.25"/>
  <cols>
    <col min="1" max="1" width="10" customWidth="1"/>
    <col min="2" max="2" width="70.28515625" customWidth="1"/>
    <col min="3" max="3" width="10" customWidth="1"/>
    <col min="4" max="4" width="12" customWidth="1"/>
    <col min="5" max="5" width="23.85546875" style="26" customWidth="1"/>
    <col min="6" max="6" width="24.140625" style="26" customWidth="1"/>
    <col min="7" max="7" width="23.85546875" style="26" customWidth="1"/>
    <col min="8" max="8" width="26" style="26" customWidth="1"/>
    <col min="9" max="9" width="24.5703125" customWidth="1"/>
    <col min="10" max="10" width="24" customWidth="1"/>
  </cols>
  <sheetData>
    <row r="1" spans="1:21" x14ac:dyDescent="0.25">
      <c r="A1" t="s">
        <v>133</v>
      </c>
    </row>
    <row r="10" spans="1:21" ht="21" customHeight="1" x14ac:dyDescent="0.35">
      <c r="A10" s="75" t="s">
        <v>38</v>
      </c>
      <c r="B10" s="75" t="s">
        <v>39</v>
      </c>
      <c r="C10" s="75" t="s">
        <v>40</v>
      </c>
      <c r="D10" s="75" t="s">
        <v>41</v>
      </c>
      <c r="E10" s="84" t="s">
        <v>42</v>
      </c>
      <c r="F10" s="84" t="s">
        <v>43</v>
      </c>
      <c r="G10" s="84" t="s">
        <v>44</v>
      </c>
      <c r="H10" s="84" t="s">
        <v>45</v>
      </c>
      <c r="I10" s="75" t="s">
        <v>46</v>
      </c>
      <c r="J10" s="75"/>
    </row>
    <row r="12" spans="1:21" x14ac:dyDescent="0.25">
      <c r="A12" s="20"/>
      <c r="B12" s="20" t="s">
        <v>134</v>
      </c>
      <c r="C12" s="20"/>
      <c r="D12" s="20"/>
      <c r="E12" s="28"/>
      <c r="F12" s="28"/>
      <c r="G12" s="88">
        <v>0</v>
      </c>
      <c r="H12" s="88">
        <v>0</v>
      </c>
      <c r="I12" s="88">
        <v>0</v>
      </c>
      <c r="J12" s="88"/>
      <c r="K12" s="88"/>
    </row>
    <row r="13" spans="1:21" x14ac:dyDescent="0.25">
      <c r="A13" s="11" t="s">
        <v>135</v>
      </c>
      <c r="B13" s="11" t="s">
        <v>136</v>
      </c>
      <c r="C13" s="11" t="s">
        <v>59</v>
      </c>
      <c r="D13" s="11">
        <v>350</v>
      </c>
      <c r="E13" s="27">
        <v>17286</v>
      </c>
      <c r="F13" s="86">
        <f>E13*D13</f>
        <v>6050100</v>
      </c>
      <c r="G13" s="27">
        <v>12000</v>
      </c>
      <c r="H13" s="86">
        <f>G13*D13</f>
        <v>4200000</v>
      </c>
      <c r="I13" s="11">
        <v>1850000</v>
      </c>
      <c r="J13" s="11" t="s">
        <v>137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x14ac:dyDescent="0.25">
      <c r="A14" s="11" t="s">
        <v>138</v>
      </c>
      <c r="B14" s="11" t="s">
        <v>139</v>
      </c>
      <c r="C14" s="11" t="s">
        <v>140</v>
      </c>
      <c r="D14" s="11">
        <v>210</v>
      </c>
      <c r="E14" s="27">
        <v>4024</v>
      </c>
      <c r="F14" s="86">
        <f>E14*D14</f>
        <v>845040</v>
      </c>
      <c r="G14" s="27">
        <v>1000</v>
      </c>
      <c r="H14" s="86">
        <f>G14*D14</f>
        <v>210000</v>
      </c>
      <c r="I14" s="11">
        <v>635000</v>
      </c>
      <c r="J14" s="11" t="s">
        <v>137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ht="18.75" customHeight="1" x14ac:dyDescent="0.3">
      <c r="A15" s="11"/>
      <c r="B15" s="11"/>
      <c r="C15" s="11"/>
      <c r="D15" s="11"/>
      <c r="E15" s="29" t="s">
        <v>64</v>
      </c>
      <c r="F15" s="87">
        <f>SUM(F13:F14)</f>
        <v>6895140</v>
      </c>
      <c r="G15" s="27">
        <v>0</v>
      </c>
      <c r="H15" s="27">
        <v>0</v>
      </c>
      <c r="I15" s="11">
        <v>0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x14ac:dyDescent="0.25">
      <c r="G16" s="27">
        <v>0</v>
      </c>
      <c r="H16" s="27">
        <v>0</v>
      </c>
      <c r="I16" s="11">
        <v>0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x14ac:dyDescent="0.25">
      <c r="A17" s="44"/>
      <c r="B17" s="44" t="s">
        <v>141</v>
      </c>
      <c r="C17" s="44"/>
      <c r="D17" s="44"/>
      <c r="E17" s="45"/>
      <c r="F17" s="45"/>
      <c r="G17" s="45">
        <v>0</v>
      </c>
      <c r="H17" s="45">
        <v>0</v>
      </c>
      <c r="I17" s="45">
        <v>0</v>
      </c>
      <c r="J17" s="45"/>
      <c r="K17" s="45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x14ac:dyDescent="0.25">
      <c r="A18" s="11" t="s">
        <v>142</v>
      </c>
      <c r="B18" s="11" t="s">
        <v>143</v>
      </c>
      <c r="C18" s="11" t="s">
        <v>59</v>
      </c>
      <c r="D18" s="11">
        <v>200</v>
      </c>
      <c r="E18" s="27">
        <v>18000</v>
      </c>
      <c r="F18" s="86">
        <f>E18*D18</f>
        <v>3600000</v>
      </c>
      <c r="G18" s="27">
        <v>7000</v>
      </c>
      <c r="H18" s="86">
        <f>G18*D18</f>
        <v>1400000</v>
      </c>
      <c r="I18" s="11">
        <v>1100000</v>
      </c>
      <c r="J18" s="11" t="s">
        <v>144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x14ac:dyDescent="0.25">
      <c r="A19" s="11" t="s">
        <v>145</v>
      </c>
      <c r="B19" s="11" t="s">
        <v>146</v>
      </c>
      <c r="C19" s="11" t="s">
        <v>140</v>
      </c>
      <c r="D19" s="11">
        <v>50</v>
      </c>
      <c r="E19" s="27">
        <v>8000</v>
      </c>
      <c r="F19" s="86">
        <f>E19*D19</f>
        <v>400000</v>
      </c>
      <c r="G19" s="27">
        <v>0</v>
      </c>
      <c r="H19" s="27">
        <v>0</v>
      </c>
      <c r="I19" s="11">
        <v>400000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ht="18.75" customHeight="1" x14ac:dyDescent="0.3">
      <c r="E20" s="34" t="s">
        <v>73</v>
      </c>
      <c r="F20" s="34">
        <f>SUM(F18:F19)</f>
        <v>4000000</v>
      </c>
    </row>
    <row r="22" spans="1:21" ht="21" customHeight="1" x14ac:dyDescent="0.35">
      <c r="B22" s="41" t="s">
        <v>147</v>
      </c>
      <c r="F22" s="34">
        <f>SUM(F15+F20)</f>
        <v>10895140</v>
      </c>
    </row>
    <row r="24" spans="1:21" x14ac:dyDescent="0.25">
      <c r="B24" t="s">
        <v>117</v>
      </c>
    </row>
    <row r="25" spans="1:21" x14ac:dyDescent="0.25">
      <c r="B25" t="s">
        <v>118</v>
      </c>
    </row>
    <row r="26" spans="1:21" x14ac:dyDescent="0.25">
      <c r="B26" t="s">
        <v>119</v>
      </c>
    </row>
    <row r="28" spans="1:21" x14ac:dyDescent="0.25">
      <c r="B28" t="s">
        <v>120</v>
      </c>
    </row>
  </sheetData>
  <pageMargins left="0.3" right="0.3" top="0.5" bottom="0.5" header="0.5" footer="0.5"/>
  <pageSetup paperSize="9" scale="40" fitToHeight="0" orientation="landscape" horizontalDpi="4294967292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F063-80B1-4C61-A73E-A94211832C57}">
  <dimension ref="A1:J92"/>
  <sheetViews>
    <sheetView workbookViewId="0">
      <selection activeCell="F11" sqref="F11"/>
    </sheetView>
  </sheetViews>
  <sheetFormatPr baseColWidth="10" defaultColWidth="9.140625" defaultRowHeight="15" x14ac:dyDescent="0.25"/>
  <cols>
    <col min="2" max="2" width="55.28515625" customWidth="1"/>
    <col min="3" max="3" width="14.5703125" customWidth="1"/>
    <col min="5" max="5" width="14.7109375" style="26" customWidth="1"/>
    <col min="6" max="6" width="14.28515625" style="26" customWidth="1"/>
    <col min="7" max="7" width="17.140625" style="26" customWidth="1"/>
    <col min="8" max="8" width="26.5703125" style="26" customWidth="1"/>
    <col min="9" max="9" width="19.42578125" style="26" customWidth="1"/>
    <col min="10" max="10" width="92.140625" customWidth="1"/>
  </cols>
  <sheetData>
    <row r="1" spans="1:10" x14ac:dyDescent="0.25">
      <c r="A1" t="s">
        <v>385</v>
      </c>
    </row>
    <row r="11" spans="1:10" ht="18.75" x14ac:dyDescent="0.3">
      <c r="A11" s="97" t="s">
        <v>38</v>
      </c>
      <c r="B11" s="97" t="s">
        <v>39</v>
      </c>
      <c r="C11" s="97" t="s">
        <v>250</v>
      </c>
      <c r="D11" s="97" t="s">
        <v>251</v>
      </c>
      <c r="E11" s="98" t="s">
        <v>252</v>
      </c>
      <c r="F11" s="98" t="s">
        <v>253</v>
      </c>
      <c r="G11" s="98" t="s">
        <v>381</v>
      </c>
      <c r="H11" s="98" t="s">
        <v>382</v>
      </c>
      <c r="I11" s="98" t="s">
        <v>383</v>
      </c>
      <c r="J11" s="97" t="s">
        <v>256</v>
      </c>
    </row>
    <row r="12" spans="1:10" x14ac:dyDescent="0.25">
      <c r="A12" s="99"/>
      <c r="B12" s="100" t="s">
        <v>257</v>
      </c>
      <c r="C12" s="99"/>
      <c r="D12" s="99"/>
      <c r="E12" s="101"/>
      <c r="F12" s="101"/>
      <c r="G12" s="101"/>
      <c r="H12" s="101"/>
      <c r="I12" s="101"/>
      <c r="J12" s="99"/>
    </row>
    <row r="13" spans="1:10" x14ac:dyDescent="0.25">
      <c r="A13" s="99"/>
      <c r="B13" s="100"/>
      <c r="C13" s="99"/>
      <c r="D13" s="99"/>
      <c r="E13" s="101"/>
      <c r="F13" s="101"/>
      <c r="G13" s="101"/>
      <c r="H13" s="101"/>
      <c r="I13" s="101"/>
      <c r="J13" s="99"/>
    </row>
    <row r="14" spans="1:10" x14ac:dyDescent="0.25">
      <c r="A14" s="102"/>
      <c r="B14" s="103" t="s">
        <v>332</v>
      </c>
      <c r="C14" s="102"/>
      <c r="D14" s="102"/>
      <c r="E14" s="104"/>
      <c r="F14" s="104"/>
      <c r="G14" s="104"/>
      <c r="H14" s="104"/>
      <c r="I14" s="104"/>
      <c r="J14" s="102"/>
    </row>
    <row r="15" spans="1:10" x14ac:dyDescent="0.25">
      <c r="A15" s="11">
        <v>1</v>
      </c>
      <c r="B15" s="11" t="s">
        <v>259</v>
      </c>
      <c r="C15" s="11" t="s">
        <v>260</v>
      </c>
      <c r="D15" s="11">
        <v>4</v>
      </c>
      <c r="E15" s="27">
        <v>1043460</v>
      </c>
      <c r="F15" s="27">
        <v>4173840</v>
      </c>
      <c r="G15" s="27">
        <v>816000</v>
      </c>
      <c r="H15" s="27">
        <f t="shared" ref="H15:H22" si="0">G15*D15</f>
        <v>3264000</v>
      </c>
      <c r="I15" s="27" t="str">
        <f>TEXT(F15-H15,"# ##0")&amp;" ("&amp;TEXT(IF(F15=0,0,(F15-H15)/F15),"0,0%")&amp;")"</f>
        <v>909 840 (21,8%)</v>
      </c>
      <c r="J15" s="11" t="s">
        <v>261</v>
      </c>
    </row>
    <row r="16" spans="1:10" x14ac:dyDescent="0.25">
      <c r="A16" s="11">
        <v>2</v>
      </c>
      <c r="B16" s="11" t="s">
        <v>262</v>
      </c>
      <c r="C16" s="11" t="s">
        <v>263</v>
      </c>
      <c r="D16" s="11">
        <v>1</v>
      </c>
      <c r="E16" s="27">
        <v>479160</v>
      </c>
      <c r="F16" s="27">
        <v>479160</v>
      </c>
      <c r="G16" s="27">
        <v>292820</v>
      </c>
      <c r="H16" s="27">
        <f t="shared" si="0"/>
        <v>292820</v>
      </c>
      <c r="I16" s="27" t="str">
        <f t="shared" ref="I16:I22" si="1">TEXT(F16-H16,"# ##0")&amp;" ("&amp;TEXT(IF(F16=0,0,(F16-H16)/F16),"0,0%")&amp;")"</f>
        <v>186 340 (38,9%)</v>
      </c>
      <c r="J16" s="11" t="s">
        <v>258</v>
      </c>
    </row>
    <row r="17" spans="1:10" x14ac:dyDescent="0.25">
      <c r="A17" s="11">
        <v>3</v>
      </c>
      <c r="B17" s="11" t="s">
        <v>264</v>
      </c>
      <c r="C17" s="11" t="s">
        <v>265</v>
      </c>
      <c r="D17" s="11">
        <v>1</v>
      </c>
      <c r="E17" s="27">
        <v>216000</v>
      </c>
      <c r="F17" s="27">
        <v>216000</v>
      </c>
      <c r="G17" s="27">
        <v>132000</v>
      </c>
      <c r="H17" s="27">
        <f t="shared" si="0"/>
        <v>132000</v>
      </c>
      <c r="I17" s="27" t="str">
        <f t="shared" si="1"/>
        <v>84 000 (38,9%)</v>
      </c>
      <c r="J17" s="11" t="s">
        <v>266</v>
      </c>
    </row>
    <row r="18" spans="1:10" x14ac:dyDescent="0.25">
      <c r="A18" s="11">
        <v>4</v>
      </c>
      <c r="B18" s="11" t="s">
        <v>267</v>
      </c>
      <c r="C18" s="11" t="s">
        <v>268</v>
      </c>
      <c r="D18" s="11">
        <v>4</v>
      </c>
      <c r="E18" s="27">
        <v>447120</v>
      </c>
      <c r="F18" s="27">
        <v>1788480</v>
      </c>
      <c r="G18" s="27">
        <v>178200</v>
      </c>
      <c r="H18" s="27">
        <f t="shared" si="0"/>
        <v>712800</v>
      </c>
      <c r="I18" s="27" t="str">
        <f t="shared" si="1"/>
        <v>1 075 680 (60,1%)</v>
      </c>
      <c r="J18" s="11" t="s">
        <v>269</v>
      </c>
    </row>
    <row r="19" spans="1:10" x14ac:dyDescent="0.25">
      <c r="A19" s="11">
        <v>5</v>
      </c>
      <c r="B19" s="11" t="s">
        <v>270</v>
      </c>
      <c r="C19" s="11" t="s">
        <v>271</v>
      </c>
      <c r="D19" s="11">
        <v>2</v>
      </c>
      <c r="E19" s="27">
        <v>151200</v>
      </c>
      <c r="F19" s="27">
        <v>302400</v>
      </c>
      <c r="G19" s="27">
        <v>92400</v>
      </c>
      <c r="H19" s="27">
        <f t="shared" si="0"/>
        <v>184800</v>
      </c>
      <c r="I19" s="27" t="str">
        <f t="shared" si="1"/>
        <v>117 600 (38,9%)</v>
      </c>
      <c r="J19" s="11" t="s">
        <v>266</v>
      </c>
    </row>
    <row r="20" spans="1:10" x14ac:dyDescent="0.25">
      <c r="A20" s="11">
        <v>6</v>
      </c>
      <c r="B20" s="11" t="s">
        <v>270</v>
      </c>
      <c r="C20" s="11" t="s">
        <v>272</v>
      </c>
      <c r="D20" s="11">
        <v>1</v>
      </c>
      <c r="E20" s="27">
        <v>172800</v>
      </c>
      <c r="F20" s="27">
        <v>172800</v>
      </c>
      <c r="G20" s="27">
        <v>105600</v>
      </c>
      <c r="H20" s="27">
        <f t="shared" si="0"/>
        <v>105600</v>
      </c>
      <c r="I20" s="27" t="str">
        <f t="shared" si="1"/>
        <v>67 200 (38,9%)</v>
      </c>
      <c r="J20" s="11" t="s">
        <v>266</v>
      </c>
    </row>
    <row r="21" spans="1:10" x14ac:dyDescent="0.25">
      <c r="A21" s="11">
        <v>7</v>
      </c>
      <c r="B21" s="11" t="s">
        <v>270</v>
      </c>
      <c r="C21" s="11" t="s">
        <v>273</v>
      </c>
      <c r="D21" s="11">
        <v>1</v>
      </c>
      <c r="E21" s="27">
        <v>108000</v>
      </c>
      <c r="F21" s="27">
        <v>108000</v>
      </c>
      <c r="G21" s="27">
        <v>66000</v>
      </c>
      <c r="H21" s="27">
        <f t="shared" si="0"/>
        <v>66000</v>
      </c>
      <c r="I21" s="27" t="str">
        <f t="shared" si="1"/>
        <v>42 000 (38,9%)</v>
      </c>
      <c r="J21" s="11" t="s">
        <v>266</v>
      </c>
    </row>
    <row r="22" spans="1:10" x14ac:dyDescent="0.25">
      <c r="A22" s="11">
        <v>8</v>
      </c>
      <c r="B22" s="11" t="s">
        <v>270</v>
      </c>
      <c r="C22" s="11" t="s">
        <v>274</v>
      </c>
      <c r="D22" s="11">
        <v>6</v>
      </c>
      <c r="E22" s="27">
        <v>70000</v>
      </c>
      <c r="F22" s="27">
        <v>420000</v>
      </c>
      <c r="G22" s="27">
        <v>19800</v>
      </c>
      <c r="H22" s="27">
        <f t="shared" si="0"/>
        <v>118800</v>
      </c>
      <c r="I22" s="27" t="str">
        <f t="shared" si="1"/>
        <v>301 200 (71,7%)</v>
      </c>
      <c r="J22" s="11" t="s">
        <v>266</v>
      </c>
    </row>
    <row r="23" spans="1:10" x14ac:dyDescent="0.25">
      <c r="A23" s="11"/>
      <c r="B23" s="11"/>
      <c r="C23" s="11"/>
      <c r="D23" s="18"/>
      <c r="E23" s="27"/>
      <c r="F23" s="27"/>
      <c r="G23" s="27"/>
      <c r="H23" s="27"/>
      <c r="I23" s="27"/>
      <c r="J23" s="11"/>
    </row>
    <row r="24" spans="1:10" x14ac:dyDescent="0.25">
      <c r="A24" s="11"/>
      <c r="B24" s="11"/>
      <c r="C24" s="11"/>
      <c r="D24" s="18">
        <f>SUM(D15:D22)</f>
        <v>20</v>
      </c>
      <c r="E24" s="27"/>
      <c r="F24" s="96">
        <f>SUM(F15:F23)</f>
        <v>7660680</v>
      </c>
      <c r="G24" s="27"/>
      <c r="H24" s="96">
        <f>SUM(H15:H23)</f>
        <v>4876820</v>
      </c>
      <c r="I24" s="27"/>
      <c r="J24" s="11"/>
    </row>
    <row r="25" spans="1:10" x14ac:dyDescent="0.25">
      <c r="A25" s="99"/>
      <c r="B25" s="100" t="s">
        <v>333</v>
      </c>
      <c r="C25" s="99"/>
      <c r="D25" s="99"/>
      <c r="E25" s="101"/>
      <c r="F25" s="101"/>
      <c r="G25" s="101"/>
      <c r="H25" s="101"/>
      <c r="I25" s="101"/>
      <c r="J25" s="99"/>
    </row>
    <row r="26" spans="1:10" x14ac:dyDescent="0.25">
      <c r="A26" s="99"/>
      <c r="B26" s="100"/>
      <c r="C26" s="99"/>
      <c r="D26" s="99"/>
      <c r="E26" s="101"/>
      <c r="F26" s="101"/>
      <c r="G26" s="101"/>
      <c r="H26" s="101"/>
      <c r="I26" s="101"/>
      <c r="J26" s="99"/>
    </row>
    <row r="27" spans="1:10" x14ac:dyDescent="0.25">
      <c r="A27" s="11">
        <v>1</v>
      </c>
      <c r="B27" s="11" t="s">
        <v>275</v>
      </c>
      <c r="C27" s="11" t="s">
        <v>276</v>
      </c>
      <c r="D27" s="11">
        <v>1</v>
      </c>
      <c r="E27" s="27">
        <v>485100</v>
      </c>
      <c r="F27" s="27">
        <v>485100</v>
      </c>
      <c r="G27" s="27">
        <v>250000</v>
      </c>
      <c r="H27" s="27">
        <f t="shared" ref="H27:H33" si="2">G27*D27</f>
        <v>250000</v>
      </c>
      <c r="I27" s="27" t="str">
        <f t="shared" ref="I27:I34" si="3">TEXT(F27-H27,"# ##0")&amp;" ("&amp;TEXT(IF(F27=0,0,(F27-H27)/F27),"0,0%")&amp;")"</f>
        <v>235 100 (48,5%)</v>
      </c>
      <c r="J27" s="11" t="s">
        <v>277</v>
      </c>
    </row>
    <row r="28" spans="1:10" x14ac:dyDescent="0.25">
      <c r="A28" s="11">
        <v>2</v>
      </c>
      <c r="B28" s="11" t="s">
        <v>275</v>
      </c>
      <c r="C28" s="11" t="s">
        <v>278</v>
      </c>
      <c r="D28" s="11">
        <v>3</v>
      </c>
      <c r="E28" s="27">
        <v>350000</v>
      </c>
      <c r="F28" s="27">
        <v>1050000</v>
      </c>
      <c r="G28" s="27">
        <v>250000</v>
      </c>
      <c r="H28" s="27">
        <f t="shared" si="2"/>
        <v>750000</v>
      </c>
      <c r="I28" s="27" t="str">
        <f t="shared" si="3"/>
        <v>300 000 (28,6%)</v>
      </c>
      <c r="J28" s="11" t="s">
        <v>277</v>
      </c>
    </row>
    <row r="29" spans="1:10" x14ac:dyDescent="0.25">
      <c r="A29" s="11">
        <v>3</v>
      </c>
      <c r="B29" s="11" t="s">
        <v>279</v>
      </c>
      <c r="C29" s="11" t="s">
        <v>280</v>
      </c>
      <c r="D29" s="11">
        <v>1</v>
      </c>
      <c r="E29" s="27">
        <v>300000</v>
      </c>
      <c r="F29" s="27">
        <v>300000</v>
      </c>
      <c r="G29" s="27">
        <v>250000</v>
      </c>
      <c r="H29" s="27">
        <f t="shared" si="2"/>
        <v>250000</v>
      </c>
      <c r="I29" s="27" t="str">
        <f t="shared" si="3"/>
        <v>50 000 (16,7%)</v>
      </c>
      <c r="J29" s="11" t="s">
        <v>277</v>
      </c>
    </row>
    <row r="30" spans="1:10" x14ac:dyDescent="0.25">
      <c r="A30" s="11">
        <v>4</v>
      </c>
      <c r="B30" s="11" t="s">
        <v>281</v>
      </c>
      <c r="C30" s="11" t="s">
        <v>282</v>
      </c>
      <c r="D30" s="11">
        <v>11</v>
      </c>
      <c r="E30" s="27">
        <v>168300</v>
      </c>
      <c r="F30" s="27">
        <v>1851300</v>
      </c>
      <c r="G30" s="27">
        <v>150000</v>
      </c>
      <c r="H30" s="27">
        <f t="shared" si="2"/>
        <v>1650000</v>
      </c>
      <c r="I30" s="27" t="str">
        <f t="shared" si="3"/>
        <v>201 300 (10,9%)</v>
      </c>
      <c r="J30" s="11" t="s">
        <v>277</v>
      </c>
    </row>
    <row r="31" spans="1:10" x14ac:dyDescent="0.25">
      <c r="A31" s="11">
        <v>5</v>
      </c>
      <c r="B31" s="11" t="s">
        <v>281</v>
      </c>
      <c r="C31" s="11" t="s">
        <v>283</v>
      </c>
      <c r="D31" s="11">
        <v>15</v>
      </c>
      <c r="E31" s="27">
        <v>160000</v>
      </c>
      <c r="F31" s="27">
        <v>2400000</v>
      </c>
      <c r="G31" s="27">
        <v>150000</v>
      </c>
      <c r="H31" s="27">
        <f t="shared" si="2"/>
        <v>2250000</v>
      </c>
      <c r="I31" s="27" t="str">
        <f t="shared" si="3"/>
        <v>150 000 (6,3%)</v>
      </c>
      <c r="J31" s="11" t="s">
        <v>277</v>
      </c>
    </row>
    <row r="32" spans="1:10" x14ac:dyDescent="0.25">
      <c r="A32" s="11">
        <v>6</v>
      </c>
      <c r="B32" s="11" t="s">
        <v>284</v>
      </c>
      <c r="C32" s="11" t="s">
        <v>280</v>
      </c>
      <c r="D32" s="11">
        <v>4</v>
      </c>
      <c r="E32" s="27">
        <v>0</v>
      </c>
      <c r="F32" s="27">
        <v>0</v>
      </c>
      <c r="G32" s="27">
        <v>190000</v>
      </c>
      <c r="H32" s="27">
        <f t="shared" si="2"/>
        <v>760000</v>
      </c>
      <c r="I32" s="27" t="str">
        <f t="shared" si="3"/>
        <v>-760 000 (0,0%)</v>
      </c>
      <c r="J32" s="11" t="s">
        <v>277</v>
      </c>
    </row>
    <row r="33" spans="1:10" x14ac:dyDescent="0.25">
      <c r="A33" s="11">
        <v>7</v>
      </c>
      <c r="B33" s="11" t="s">
        <v>285</v>
      </c>
      <c r="C33" s="11" t="s">
        <v>286</v>
      </c>
      <c r="D33" s="11">
        <v>2</v>
      </c>
      <c r="E33" s="27">
        <v>0</v>
      </c>
      <c r="F33" s="27">
        <v>0</v>
      </c>
      <c r="G33" s="27">
        <v>420000</v>
      </c>
      <c r="H33" s="27">
        <f t="shared" si="2"/>
        <v>840000</v>
      </c>
      <c r="I33" s="27" t="str">
        <f t="shared" si="3"/>
        <v>-840 000 (0,0%)</v>
      </c>
      <c r="J33" s="11" t="s">
        <v>287</v>
      </c>
    </row>
    <row r="34" spans="1:10" x14ac:dyDescent="0.25">
      <c r="A34" s="11"/>
      <c r="B34" s="11"/>
      <c r="C34" s="11"/>
      <c r="D34" s="18">
        <f>SUM(D24:D32)</f>
        <v>55</v>
      </c>
      <c r="E34" s="27"/>
      <c r="F34" s="96">
        <f>SUM(F27:F33)</f>
        <v>6086400</v>
      </c>
      <c r="G34" s="27"/>
      <c r="H34" s="96">
        <f>SUM(H27:H33)</f>
        <v>6750000</v>
      </c>
      <c r="I34" s="27" t="str">
        <f t="shared" si="3"/>
        <v>-663 600 (-10,9%)</v>
      </c>
      <c r="J34" s="11"/>
    </row>
    <row r="35" spans="1:10" x14ac:dyDescent="0.25">
      <c r="A35" s="11"/>
      <c r="B35" s="11"/>
      <c r="C35" s="11"/>
      <c r="D35" s="18"/>
      <c r="E35" s="27" t="s">
        <v>384</v>
      </c>
      <c r="F35" s="96">
        <f>F34+F24</f>
        <v>13747080</v>
      </c>
      <c r="G35" s="27"/>
      <c r="H35" s="96"/>
      <c r="I35" s="27"/>
      <c r="J35" s="11"/>
    </row>
    <row r="36" spans="1:10" x14ac:dyDescent="0.25">
      <c r="A36" s="11"/>
      <c r="B36" s="11"/>
      <c r="C36" s="18" t="s">
        <v>288</v>
      </c>
      <c r="D36" s="11"/>
      <c r="E36" s="27"/>
      <c r="F36" s="27"/>
      <c r="G36" s="96">
        <f>SUM(H34+H24)</f>
        <v>11626820</v>
      </c>
      <c r="H36" s="27"/>
      <c r="I36" s="27"/>
      <c r="J36" s="11"/>
    </row>
    <row r="37" spans="1:10" x14ac:dyDescent="0.25">
      <c r="A37" s="105"/>
      <c r="B37" s="106" t="s">
        <v>289</v>
      </c>
      <c r="C37" s="105"/>
      <c r="D37" s="105"/>
      <c r="E37" s="107"/>
      <c r="F37" s="107"/>
      <c r="G37" s="107"/>
      <c r="H37" s="107"/>
      <c r="I37" s="107"/>
      <c r="J37" s="105"/>
    </row>
    <row r="38" spans="1:10" x14ac:dyDescent="0.25">
      <c r="A38" s="105"/>
      <c r="B38" s="106"/>
      <c r="C38" s="105"/>
      <c r="D38" s="105"/>
      <c r="E38" s="107"/>
      <c r="F38" s="107"/>
      <c r="G38" s="107"/>
      <c r="H38" s="107"/>
      <c r="I38" s="107"/>
      <c r="J38" s="105"/>
    </row>
    <row r="39" spans="1:10" x14ac:dyDescent="0.25">
      <c r="A39" s="11">
        <v>1</v>
      </c>
      <c r="B39" s="11" t="s">
        <v>290</v>
      </c>
      <c r="C39" s="11" t="s">
        <v>291</v>
      </c>
      <c r="D39" s="11">
        <v>2</v>
      </c>
      <c r="E39" s="27">
        <v>129600</v>
      </c>
      <c r="F39" s="27">
        <v>259200</v>
      </c>
      <c r="G39" s="27">
        <v>79200</v>
      </c>
      <c r="H39" s="27">
        <f t="shared" ref="H39:H44" si="4">G39*D39</f>
        <v>158400</v>
      </c>
      <c r="I39" s="27" t="str">
        <f t="shared" ref="I39:I45" si="5">TEXT(F39-H39,"# ##0")&amp;" ("&amp;TEXT(IF(F39=0,0,(F39-H39)/F39),"0,0%")&amp;")"</f>
        <v>100 800 (38,9%)</v>
      </c>
      <c r="J39" s="11" t="s">
        <v>266</v>
      </c>
    </row>
    <row r="40" spans="1:10" x14ac:dyDescent="0.25">
      <c r="A40" s="11">
        <v>2</v>
      </c>
      <c r="B40" s="11" t="s">
        <v>290</v>
      </c>
      <c r="C40" s="11" t="s">
        <v>292</v>
      </c>
      <c r="D40" s="11">
        <v>1</v>
      </c>
      <c r="E40" s="27">
        <v>86400</v>
      </c>
      <c r="F40" s="27">
        <v>86400</v>
      </c>
      <c r="G40" s="27">
        <v>52800</v>
      </c>
      <c r="H40" s="27">
        <f t="shared" si="4"/>
        <v>52800</v>
      </c>
      <c r="I40" s="27" t="str">
        <f t="shared" si="5"/>
        <v>33 600 (38,9%)</v>
      </c>
      <c r="J40" s="11" t="s">
        <v>266</v>
      </c>
    </row>
    <row r="41" spans="1:10" x14ac:dyDescent="0.25">
      <c r="A41" s="11">
        <v>3</v>
      </c>
      <c r="B41" s="11" t="s">
        <v>290</v>
      </c>
      <c r="C41" s="11" t="s">
        <v>274</v>
      </c>
      <c r="D41" s="11">
        <v>1</v>
      </c>
      <c r="E41" s="27">
        <v>70000</v>
      </c>
      <c r="F41" s="27">
        <v>70000</v>
      </c>
      <c r="G41" s="27">
        <v>19800</v>
      </c>
      <c r="H41" s="27">
        <f t="shared" si="4"/>
        <v>19800</v>
      </c>
      <c r="I41" s="27" t="str">
        <f t="shared" si="5"/>
        <v>50 200 (71,7%)</v>
      </c>
      <c r="J41" s="11" t="s">
        <v>266</v>
      </c>
    </row>
    <row r="42" spans="1:10" x14ac:dyDescent="0.25">
      <c r="A42" s="11">
        <v>4</v>
      </c>
      <c r="B42" s="11" t="s">
        <v>293</v>
      </c>
      <c r="C42" s="11" t="s">
        <v>278</v>
      </c>
      <c r="D42" s="11">
        <v>2</v>
      </c>
      <c r="E42" s="27">
        <v>350000</v>
      </c>
      <c r="F42" s="27">
        <v>700000</v>
      </c>
      <c r="G42" s="27">
        <v>250000</v>
      </c>
      <c r="H42" s="27">
        <f t="shared" si="4"/>
        <v>500000</v>
      </c>
      <c r="I42" s="27" t="str">
        <f t="shared" si="5"/>
        <v>200 000 (28,6%)</v>
      </c>
      <c r="J42" s="11" t="s">
        <v>277</v>
      </c>
    </row>
    <row r="43" spans="1:10" x14ac:dyDescent="0.25">
      <c r="A43" s="11">
        <v>5</v>
      </c>
      <c r="B43" s="11" t="s">
        <v>294</v>
      </c>
      <c r="C43" s="11" t="s">
        <v>282</v>
      </c>
      <c r="D43" s="11">
        <v>1</v>
      </c>
      <c r="E43" s="27">
        <v>168300</v>
      </c>
      <c r="F43" s="27">
        <v>168300</v>
      </c>
      <c r="G43" s="27">
        <v>150000</v>
      </c>
      <c r="H43" s="27">
        <f t="shared" si="4"/>
        <v>150000</v>
      </c>
      <c r="I43" s="27" t="str">
        <f t="shared" si="5"/>
        <v>18 300 (10,9%)</v>
      </c>
      <c r="J43" s="11" t="s">
        <v>277</v>
      </c>
    </row>
    <row r="44" spans="1:10" x14ac:dyDescent="0.25">
      <c r="A44" s="11">
        <v>6</v>
      </c>
      <c r="B44" s="11" t="s">
        <v>294</v>
      </c>
      <c r="C44" s="11" t="s">
        <v>283</v>
      </c>
      <c r="D44" s="11">
        <v>8</v>
      </c>
      <c r="E44" s="27">
        <v>149600</v>
      </c>
      <c r="F44" s="27">
        <v>1196800</v>
      </c>
      <c r="G44" s="27">
        <v>150000</v>
      </c>
      <c r="H44" s="27">
        <f t="shared" si="4"/>
        <v>1200000</v>
      </c>
      <c r="I44" s="27" t="str">
        <f t="shared" si="5"/>
        <v>-3 200 (-0,3%)</v>
      </c>
      <c r="J44" s="11" t="s">
        <v>277</v>
      </c>
    </row>
    <row r="45" spans="1:10" x14ac:dyDescent="0.25">
      <c r="A45" s="11"/>
      <c r="B45" s="11"/>
      <c r="C45" s="11"/>
      <c r="D45" s="18">
        <f>SUM(D34:D43)</f>
        <v>62</v>
      </c>
      <c r="E45" s="27"/>
      <c r="F45" s="96">
        <f>SUM(F37:F44)</f>
        <v>2480700</v>
      </c>
      <c r="G45" s="27"/>
      <c r="H45" s="96">
        <f>SUM(H37:H44)</f>
        <v>2081000</v>
      </c>
      <c r="I45" s="27" t="str">
        <f t="shared" si="5"/>
        <v>399 700 (16,1%)</v>
      </c>
      <c r="J45" s="11"/>
    </row>
    <row r="46" spans="1:10" x14ac:dyDescent="0.25">
      <c r="A46" s="11"/>
      <c r="B46" s="11"/>
      <c r="C46" s="18" t="s">
        <v>295</v>
      </c>
      <c r="D46" s="11"/>
      <c r="E46" s="27"/>
      <c r="F46" s="27"/>
      <c r="G46" s="96">
        <f>SUM(H45)</f>
        <v>2081000</v>
      </c>
      <c r="H46" s="27"/>
      <c r="I46" s="27"/>
      <c r="J46" s="11"/>
    </row>
    <row r="47" spans="1:10" x14ac:dyDescent="0.25">
      <c r="A47" s="108"/>
      <c r="B47" s="109" t="s">
        <v>296</v>
      </c>
      <c r="C47" s="108"/>
      <c r="D47" s="108"/>
      <c r="E47" s="110"/>
      <c r="F47" s="110"/>
      <c r="G47" s="110"/>
      <c r="H47" s="110"/>
      <c r="I47" s="110"/>
      <c r="J47" s="108"/>
    </row>
    <row r="48" spans="1:10" x14ac:dyDescent="0.25">
      <c r="A48" s="108"/>
      <c r="B48" s="109"/>
      <c r="C48" s="108"/>
      <c r="D48" s="108"/>
      <c r="E48" s="110"/>
      <c r="F48" s="110"/>
      <c r="G48" s="110"/>
      <c r="H48" s="110"/>
      <c r="I48" s="110"/>
      <c r="J48" s="108"/>
    </row>
    <row r="49" spans="1:10" x14ac:dyDescent="0.25">
      <c r="A49" s="11"/>
      <c r="B49" s="18" t="s">
        <v>334</v>
      </c>
      <c r="C49" s="11"/>
      <c r="D49" s="11"/>
      <c r="E49" s="27"/>
      <c r="F49" s="27"/>
      <c r="G49" s="27"/>
      <c r="H49" s="27"/>
      <c r="I49" s="27"/>
      <c r="J49" s="11"/>
    </row>
    <row r="50" spans="1:10" x14ac:dyDescent="0.25">
      <c r="A50" s="11">
        <v>1</v>
      </c>
      <c r="B50" s="11" t="s">
        <v>297</v>
      </c>
      <c r="C50" s="11" t="s">
        <v>291</v>
      </c>
      <c r="D50" s="11">
        <v>1</v>
      </c>
      <c r="E50" s="27">
        <v>198000</v>
      </c>
      <c r="F50" s="27">
        <v>198000</v>
      </c>
      <c r="G50" s="27">
        <v>79200</v>
      </c>
      <c r="H50" s="27">
        <f t="shared" ref="H50:H55" si="6">G50*D50</f>
        <v>79200</v>
      </c>
      <c r="I50" s="27" t="str">
        <f t="shared" ref="I50:I56" si="7">TEXT(F50-H50,"# ##0")&amp;" ("&amp;TEXT(IF(F50=0,0,(F50-H50)/F50),"0,0%")&amp;")"</f>
        <v>118 800 (60,0%)</v>
      </c>
      <c r="J50" s="11" t="s">
        <v>266</v>
      </c>
    </row>
    <row r="51" spans="1:10" x14ac:dyDescent="0.25">
      <c r="A51" s="11">
        <v>2</v>
      </c>
      <c r="B51" s="11" t="s">
        <v>298</v>
      </c>
      <c r="C51" s="11" t="s">
        <v>299</v>
      </c>
      <c r="D51" s="11">
        <v>1</v>
      </c>
      <c r="E51" s="27">
        <v>810000</v>
      </c>
      <c r="F51" s="27">
        <v>810000</v>
      </c>
      <c r="G51" s="27">
        <v>759900</v>
      </c>
      <c r="H51" s="27">
        <f t="shared" si="6"/>
        <v>759900</v>
      </c>
      <c r="I51" s="27" t="str">
        <f t="shared" si="7"/>
        <v>50 100 (6,2%)</v>
      </c>
      <c r="J51" s="11" t="s">
        <v>266</v>
      </c>
    </row>
    <row r="52" spans="1:10" x14ac:dyDescent="0.25">
      <c r="A52" s="11">
        <v>3</v>
      </c>
      <c r="B52" s="11" t="s">
        <v>300</v>
      </c>
      <c r="C52" s="11" t="s">
        <v>301</v>
      </c>
      <c r="D52" s="11">
        <v>2</v>
      </c>
      <c r="E52" s="27">
        <v>138000</v>
      </c>
      <c r="F52" s="27">
        <v>276000</v>
      </c>
      <c r="G52" s="27">
        <v>217800.00000000009</v>
      </c>
      <c r="H52" s="27">
        <f t="shared" si="6"/>
        <v>435600.00000000017</v>
      </c>
      <c r="I52" s="27" t="str">
        <f t="shared" si="7"/>
        <v>-159 600 (-57,8%)</v>
      </c>
      <c r="J52" s="11" t="s">
        <v>266</v>
      </c>
    </row>
    <row r="53" spans="1:10" x14ac:dyDescent="0.25">
      <c r="A53" s="11">
        <v>4</v>
      </c>
      <c r="B53" s="11" t="s">
        <v>302</v>
      </c>
      <c r="C53" s="11" t="s">
        <v>303</v>
      </c>
      <c r="D53" s="11">
        <v>9</v>
      </c>
      <c r="E53" s="27">
        <v>138000</v>
      </c>
      <c r="F53" s="27">
        <v>1242000</v>
      </c>
      <c r="G53" s="27">
        <v>105600</v>
      </c>
      <c r="H53" s="27">
        <f t="shared" si="6"/>
        <v>950400</v>
      </c>
      <c r="I53" s="27" t="str">
        <f t="shared" si="7"/>
        <v>291 600 (23,5%)</v>
      </c>
      <c r="J53" s="11" t="s">
        <v>266</v>
      </c>
    </row>
    <row r="54" spans="1:10" x14ac:dyDescent="0.25">
      <c r="A54" s="11">
        <v>5</v>
      </c>
      <c r="B54" s="11" t="s">
        <v>304</v>
      </c>
      <c r="C54" s="11" t="s">
        <v>273</v>
      </c>
      <c r="D54" s="11">
        <v>1</v>
      </c>
      <c r="E54" s="27">
        <v>138000</v>
      </c>
      <c r="F54" s="27">
        <v>138000</v>
      </c>
      <c r="G54" s="27">
        <v>66000</v>
      </c>
      <c r="H54" s="27">
        <f t="shared" si="6"/>
        <v>66000</v>
      </c>
      <c r="I54" s="27" t="str">
        <f t="shared" si="7"/>
        <v>72 000 (52,2%)</v>
      </c>
      <c r="J54" s="11" t="s">
        <v>266</v>
      </c>
    </row>
    <row r="55" spans="1:10" x14ac:dyDescent="0.25">
      <c r="A55" s="11">
        <v>6</v>
      </c>
      <c r="B55" s="11" t="s">
        <v>305</v>
      </c>
      <c r="C55" s="11" t="s">
        <v>274</v>
      </c>
      <c r="D55" s="11">
        <v>7</v>
      </c>
      <c r="E55" s="27">
        <v>138000</v>
      </c>
      <c r="F55" s="27">
        <v>966000</v>
      </c>
      <c r="G55" s="27">
        <v>19800</v>
      </c>
      <c r="H55" s="27">
        <f t="shared" si="6"/>
        <v>138600</v>
      </c>
      <c r="I55" s="27" t="str">
        <f t="shared" si="7"/>
        <v>827 400 (85,7%)</v>
      </c>
      <c r="J55" s="11" t="s">
        <v>266</v>
      </c>
    </row>
    <row r="56" spans="1:10" x14ac:dyDescent="0.25">
      <c r="A56" s="11"/>
      <c r="B56" s="11"/>
      <c r="C56" s="11"/>
      <c r="D56" s="11"/>
      <c r="E56" s="27"/>
      <c r="F56" s="96">
        <f>SUM(F50:F55)</f>
        <v>3630000</v>
      </c>
      <c r="G56" s="27"/>
      <c r="H56" s="96">
        <f>SUM(H50:H55)</f>
        <v>2429700</v>
      </c>
      <c r="I56" s="27" t="str">
        <f t="shared" si="7"/>
        <v>1 200 300 (33,1%)</v>
      </c>
      <c r="J56" s="11"/>
    </row>
    <row r="57" spans="1:10" x14ac:dyDescent="0.25">
      <c r="A57" s="11"/>
      <c r="B57" s="18" t="s">
        <v>336</v>
      </c>
      <c r="C57" s="11"/>
      <c r="D57" s="11"/>
      <c r="E57" s="27"/>
      <c r="F57" s="27"/>
      <c r="G57" s="27"/>
      <c r="H57" s="27"/>
      <c r="I57" s="27"/>
      <c r="J57" s="11"/>
    </row>
    <row r="58" spans="1:10" x14ac:dyDescent="0.25">
      <c r="A58" s="11">
        <v>1</v>
      </c>
      <c r="B58" s="11" t="s">
        <v>306</v>
      </c>
      <c r="C58" s="11">
        <v>32.4</v>
      </c>
      <c r="D58" s="11">
        <v>1</v>
      </c>
      <c r="E58" s="27">
        <v>138000</v>
      </c>
      <c r="F58" s="27">
        <v>4471200</v>
      </c>
      <c r="G58" s="27"/>
      <c r="H58" s="27">
        <f>G58*D58</f>
        <v>0</v>
      </c>
      <c r="I58" s="27" t="str">
        <f>(F58-H58)&amp;" ("&amp;TEXT(IF(F58=0,0,(F58-H58)/F58),"0.0%")&amp;")"</f>
        <v>4471200 (10.0%)</v>
      </c>
      <c r="J58" s="11" t="s">
        <v>308</v>
      </c>
    </row>
    <row r="59" spans="1:10" x14ac:dyDescent="0.25">
      <c r="A59" s="11"/>
      <c r="B59" s="11"/>
      <c r="C59" s="11"/>
      <c r="D59" s="11"/>
      <c r="E59" s="27"/>
      <c r="F59" s="27"/>
      <c r="G59" s="27"/>
      <c r="H59" s="27"/>
      <c r="I59" s="27"/>
      <c r="J59" s="11"/>
    </row>
    <row r="60" spans="1:10" x14ac:dyDescent="0.25">
      <c r="A60" s="11"/>
      <c r="B60" s="18" t="s">
        <v>335</v>
      </c>
      <c r="C60" s="11"/>
      <c r="D60" s="11"/>
      <c r="E60" s="27"/>
      <c r="F60" s="27"/>
      <c r="G60" s="27"/>
      <c r="H60" s="27"/>
      <c r="I60" s="27"/>
      <c r="J60" s="11"/>
    </row>
    <row r="61" spans="1:10" x14ac:dyDescent="0.25">
      <c r="A61" s="11">
        <v>1</v>
      </c>
      <c r="B61" s="11" t="s">
        <v>309</v>
      </c>
      <c r="C61" s="11" t="s">
        <v>310</v>
      </c>
      <c r="D61" s="11">
        <v>6</v>
      </c>
      <c r="E61" s="27">
        <v>759000</v>
      </c>
      <c r="F61" s="27">
        <v>4554000</v>
      </c>
      <c r="G61" s="27">
        <v>150000</v>
      </c>
      <c r="H61" s="27">
        <f>G61*D61</f>
        <v>900000</v>
      </c>
      <c r="I61" s="27" t="str">
        <f t="shared" ref="I61:I64" si="8">TEXT(F61-H61,"# ##0")&amp;" ("&amp;TEXT(IF(F61=0,0,(F61-H61)/F61),"0,0%")&amp;")"</f>
        <v>3 654 000 (80,2%)</v>
      </c>
      <c r="J61" s="11" t="s">
        <v>311</v>
      </c>
    </row>
    <row r="62" spans="1:10" x14ac:dyDescent="0.25">
      <c r="A62" s="11">
        <v>2</v>
      </c>
      <c r="B62" s="11" t="s">
        <v>312</v>
      </c>
      <c r="C62" s="11" t="s">
        <v>313</v>
      </c>
      <c r="D62" s="11">
        <v>20</v>
      </c>
      <c r="E62" s="27">
        <v>273240</v>
      </c>
      <c r="F62" s="27">
        <v>5464800</v>
      </c>
      <c r="G62" s="27">
        <v>150000</v>
      </c>
      <c r="H62" s="27">
        <f>G62*D62</f>
        <v>3000000</v>
      </c>
      <c r="I62" s="27" t="str">
        <f t="shared" si="8"/>
        <v>2 464 800 (45,1%)</v>
      </c>
      <c r="J62" s="11" t="s">
        <v>311</v>
      </c>
    </row>
    <row r="63" spans="1:10" x14ac:dyDescent="0.25">
      <c r="A63" s="11">
        <v>3</v>
      </c>
      <c r="B63" s="11" t="s">
        <v>314</v>
      </c>
      <c r="C63" s="11" t="s">
        <v>315</v>
      </c>
      <c r="D63" s="11">
        <v>16</v>
      </c>
      <c r="E63" s="27">
        <v>242880</v>
      </c>
      <c r="F63" s="27">
        <v>3886080</v>
      </c>
      <c r="G63" s="27">
        <v>150000</v>
      </c>
      <c r="H63" s="27">
        <f>G63*D63</f>
        <v>2400000</v>
      </c>
      <c r="I63" s="27" t="str">
        <f t="shared" si="8"/>
        <v>1 486 080 (38,2%)</v>
      </c>
      <c r="J63" s="11" t="s">
        <v>311</v>
      </c>
    </row>
    <row r="64" spans="1:10" x14ac:dyDescent="0.25">
      <c r="A64" s="11"/>
      <c r="D64" s="11"/>
      <c r="E64" s="27"/>
      <c r="F64" s="96">
        <v>22006080</v>
      </c>
      <c r="G64" s="27"/>
      <c r="H64" s="96">
        <v>13319700</v>
      </c>
      <c r="I64" s="27" t="str">
        <f t="shared" si="8"/>
        <v>8 686 380 (39,5%)</v>
      </c>
      <c r="J64" s="11"/>
    </row>
    <row r="65" spans="1:10" x14ac:dyDescent="0.25">
      <c r="A65" s="11"/>
      <c r="B65" s="111" t="s">
        <v>316</v>
      </c>
      <c r="C65" s="11"/>
      <c r="D65" s="11"/>
      <c r="E65" s="27"/>
      <c r="F65" s="27"/>
      <c r="G65" s="96">
        <f>SUM(H64+H56)</f>
        <v>15749400</v>
      </c>
      <c r="H65" s="27"/>
      <c r="I65" s="27"/>
      <c r="J65" s="11"/>
    </row>
    <row r="66" spans="1:10" x14ac:dyDescent="0.25">
      <c r="A66" s="112"/>
      <c r="B66" s="113" t="s">
        <v>317</v>
      </c>
      <c r="C66" s="112"/>
      <c r="D66" s="112"/>
      <c r="E66" s="114"/>
      <c r="F66" s="114"/>
      <c r="G66" s="114"/>
      <c r="H66" s="114"/>
      <c r="I66" s="114"/>
      <c r="J66" s="112"/>
    </row>
    <row r="67" spans="1:10" x14ac:dyDescent="0.25">
      <c r="A67" s="112"/>
      <c r="B67" s="113"/>
      <c r="C67" s="112"/>
      <c r="D67" s="112"/>
      <c r="E67" s="114"/>
      <c r="F67" s="114"/>
      <c r="G67" s="114"/>
      <c r="H67" s="114"/>
      <c r="I67" s="114"/>
      <c r="J67" s="112"/>
    </row>
    <row r="68" spans="1:10" x14ac:dyDescent="0.25">
      <c r="A68" s="11"/>
      <c r="B68" s="18" t="s">
        <v>334</v>
      </c>
      <c r="C68" s="11"/>
      <c r="D68" s="11"/>
      <c r="E68" s="27"/>
      <c r="F68" s="27"/>
      <c r="G68" s="27"/>
      <c r="H68" s="27"/>
      <c r="I68" s="27"/>
      <c r="J68" s="11"/>
    </row>
    <row r="69" spans="1:10" x14ac:dyDescent="0.25">
      <c r="A69" s="11">
        <v>1</v>
      </c>
      <c r="B69" s="11" t="s">
        <v>318</v>
      </c>
      <c r="C69" s="11" t="s">
        <v>319</v>
      </c>
      <c r="D69" s="11">
        <v>1</v>
      </c>
      <c r="E69" s="27">
        <v>248400</v>
      </c>
      <c r="F69" s="27">
        <v>248400</v>
      </c>
      <c r="G69" s="27">
        <v>98999.999999999985</v>
      </c>
      <c r="H69" s="27">
        <f>G69*D69</f>
        <v>98999.999999999985</v>
      </c>
      <c r="I69" s="27" t="str">
        <f t="shared" ref="I69:I73" si="9">TEXT(F69-H69,"# ##0")&amp;" ("&amp;TEXT(IF(F69=0,0,(F69-H69)/F69),"0,0%")&amp;")"</f>
        <v>149 400 (60,1%)</v>
      </c>
      <c r="J69" s="11" t="s">
        <v>266</v>
      </c>
    </row>
    <row r="70" spans="1:10" x14ac:dyDescent="0.25">
      <c r="A70" s="11">
        <v>2</v>
      </c>
      <c r="B70" s="11" t="s">
        <v>320</v>
      </c>
      <c r="C70" s="11" t="s">
        <v>303</v>
      </c>
      <c r="D70" s="11">
        <v>9</v>
      </c>
      <c r="E70" s="27">
        <v>264960</v>
      </c>
      <c r="F70" s="27">
        <v>2384640</v>
      </c>
      <c r="G70" s="27">
        <v>105600</v>
      </c>
      <c r="H70" s="27">
        <f>G70*D70</f>
        <v>950400</v>
      </c>
      <c r="I70" s="27" t="str">
        <f t="shared" si="9"/>
        <v>1 434 240 (60,1%)</v>
      </c>
      <c r="J70" s="11" t="s">
        <v>266</v>
      </c>
    </row>
    <row r="71" spans="1:10" x14ac:dyDescent="0.25">
      <c r="A71" s="11">
        <v>3</v>
      </c>
      <c r="B71" s="11" t="s">
        <v>321</v>
      </c>
      <c r="C71" s="11" t="s">
        <v>273</v>
      </c>
      <c r="D71" s="11">
        <v>3</v>
      </c>
      <c r="E71" s="27">
        <v>264960</v>
      </c>
      <c r="F71" s="27">
        <v>794880</v>
      </c>
      <c r="G71" s="27">
        <v>66000</v>
      </c>
      <c r="H71" s="27">
        <f>G71*D71</f>
        <v>198000</v>
      </c>
      <c r="I71" s="27" t="str">
        <f t="shared" si="9"/>
        <v>596 880 (75,1%)</v>
      </c>
      <c r="J71" s="11" t="s">
        <v>266</v>
      </c>
    </row>
    <row r="72" spans="1:10" x14ac:dyDescent="0.25">
      <c r="A72" s="11">
        <v>4</v>
      </c>
      <c r="B72" s="11" t="s">
        <v>322</v>
      </c>
      <c r="C72" s="11" t="s">
        <v>274</v>
      </c>
      <c r="D72" s="11">
        <v>7</v>
      </c>
      <c r="E72" s="27">
        <v>49680</v>
      </c>
      <c r="F72" s="27">
        <v>347760</v>
      </c>
      <c r="G72" s="27">
        <v>19800</v>
      </c>
      <c r="H72" s="27">
        <f>G72*D72</f>
        <v>138600</v>
      </c>
      <c r="I72" s="27" t="str">
        <f t="shared" si="9"/>
        <v>209 160 (60,1%)</v>
      </c>
      <c r="J72" s="11" t="s">
        <v>266</v>
      </c>
    </row>
    <row r="73" spans="1:10" x14ac:dyDescent="0.25">
      <c r="A73" s="11">
        <v>5</v>
      </c>
      <c r="B73" s="11" t="s">
        <v>323</v>
      </c>
      <c r="C73" s="11" t="s">
        <v>307</v>
      </c>
      <c r="D73" s="11">
        <v>1</v>
      </c>
      <c r="E73" s="27"/>
      <c r="F73" s="27">
        <v>0</v>
      </c>
      <c r="G73" s="27"/>
      <c r="H73" s="27">
        <f>G73*D73</f>
        <v>0</v>
      </c>
      <c r="I73" s="27" t="str">
        <f t="shared" si="9"/>
        <v>0 (0,0%)</v>
      </c>
      <c r="J73" s="11" t="s">
        <v>308</v>
      </c>
    </row>
    <row r="74" spans="1:10" x14ac:dyDescent="0.25">
      <c r="A74" s="11"/>
      <c r="B74" s="11"/>
      <c r="C74" s="11"/>
      <c r="D74" s="11"/>
      <c r="E74" s="27"/>
      <c r="F74" s="96">
        <f>SUM(F69:F73)</f>
        <v>3775680</v>
      </c>
      <c r="G74" s="27"/>
      <c r="H74" s="96">
        <f>SUM(H69:H73)</f>
        <v>1386000</v>
      </c>
      <c r="I74" s="27"/>
      <c r="J74" s="11"/>
    </row>
    <row r="75" spans="1:10" x14ac:dyDescent="0.25">
      <c r="A75" s="11">
        <v>6</v>
      </c>
      <c r="B75" s="18" t="s">
        <v>335</v>
      </c>
      <c r="C75" s="11"/>
      <c r="D75" s="11"/>
      <c r="E75" s="27"/>
      <c r="F75" s="27"/>
      <c r="G75" s="27"/>
      <c r="H75" s="27"/>
      <c r="I75" s="27"/>
      <c r="J75" s="11"/>
    </row>
    <row r="76" spans="1:10" x14ac:dyDescent="0.25">
      <c r="A76" s="11">
        <v>7</v>
      </c>
      <c r="B76" s="11" t="s">
        <v>324</v>
      </c>
      <c r="C76" s="11" t="s">
        <v>310</v>
      </c>
      <c r="D76" s="11">
        <v>5</v>
      </c>
      <c r="E76" s="27">
        <v>138000</v>
      </c>
      <c r="F76" s="27">
        <v>690000</v>
      </c>
      <c r="G76" s="27">
        <v>150000</v>
      </c>
      <c r="H76" s="27">
        <f>G76*D76</f>
        <v>750000</v>
      </c>
      <c r="I76" s="27" t="str">
        <f t="shared" ref="I76:I80" si="10">TEXT(F76-H76,"# ##0")&amp;" ("&amp;TEXT(IF(F76=0,0,(F76-H76)/F76),"0,0%")&amp;")"</f>
        <v>-60 000 (-8,7%)</v>
      </c>
      <c r="J76" s="11" t="s">
        <v>311</v>
      </c>
    </row>
    <row r="77" spans="1:10" x14ac:dyDescent="0.25">
      <c r="A77" s="11">
        <v>8</v>
      </c>
      <c r="B77" s="11" t="s">
        <v>325</v>
      </c>
      <c r="C77" s="11" t="s">
        <v>326</v>
      </c>
      <c r="D77" s="11">
        <v>12</v>
      </c>
      <c r="E77" s="27">
        <v>138000</v>
      </c>
      <c r="F77" s="27">
        <v>1656000</v>
      </c>
      <c r="G77" s="27">
        <v>150000</v>
      </c>
      <c r="H77" s="27">
        <f>G77*D77</f>
        <v>1800000</v>
      </c>
      <c r="I77" s="27" t="str">
        <f t="shared" si="10"/>
        <v>-144 000 (-8,7%)</v>
      </c>
      <c r="J77" s="11" t="s">
        <v>311</v>
      </c>
    </row>
    <row r="78" spans="1:10" x14ac:dyDescent="0.25">
      <c r="A78" s="11">
        <v>9</v>
      </c>
      <c r="B78" s="11" t="s">
        <v>327</v>
      </c>
      <c r="C78" s="11" t="s">
        <v>328</v>
      </c>
      <c r="D78" s="11">
        <v>4</v>
      </c>
      <c r="E78" s="27">
        <v>138000</v>
      </c>
      <c r="F78" s="27">
        <v>552000</v>
      </c>
      <c r="G78" s="27">
        <v>150000</v>
      </c>
      <c r="H78" s="27">
        <f>G78*D78</f>
        <v>600000</v>
      </c>
      <c r="I78" s="27" t="str">
        <f t="shared" si="10"/>
        <v>-48 000 (-8,7%)</v>
      </c>
      <c r="J78" s="11" t="s">
        <v>311</v>
      </c>
    </row>
    <row r="79" spans="1:10" x14ac:dyDescent="0.25">
      <c r="A79" s="11">
        <v>10</v>
      </c>
      <c r="B79" s="11" t="s">
        <v>329</v>
      </c>
      <c r="C79" s="11" t="s">
        <v>313</v>
      </c>
      <c r="D79" s="11">
        <v>18</v>
      </c>
      <c r="E79" s="27">
        <v>138000</v>
      </c>
      <c r="F79" s="27">
        <v>2484000</v>
      </c>
      <c r="G79" s="27">
        <v>150000</v>
      </c>
      <c r="H79" s="27">
        <f>G79*D79</f>
        <v>2700000</v>
      </c>
      <c r="I79" s="27" t="str">
        <f t="shared" si="10"/>
        <v>-216 000 (-8,7%)</v>
      </c>
      <c r="J79" s="11" t="s">
        <v>311</v>
      </c>
    </row>
    <row r="80" spans="1:10" x14ac:dyDescent="0.25">
      <c r="A80" s="11">
        <v>11</v>
      </c>
      <c r="B80" s="11" t="s">
        <v>330</v>
      </c>
      <c r="C80" s="11" t="s">
        <v>315</v>
      </c>
      <c r="D80" s="11">
        <v>7</v>
      </c>
      <c r="E80" s="27">
        <v>138000</v>
      </c>
      <c r="F80" s="27">
        <v>966000</v>
      </c>
      <c r="G80" s="27">
        <v>150000</v>
      </c>
      <c r="H80" s="27">
        <f>G80*D80</f>
        <v>1050000</v>
      </c>
      <c r="I80" s="27" t="str">
        <f t="shared" si="10"/>
        <v>-84 000 (-8,7%)</v>
      </c>
      <c r="J80" s="11" t="s">
        <v>311</v>
      </c>
    </row>
    <row r="81" spans="1:10" x14ac:dyDescent="0.25">
      <c r="A81" s="11"/>
      <c r="B81" s="11"/>
      <c r="C81" s="11"/>
      <c r="D81" s="11"/>
      <c r="E81" s="27"/>
      <c r="F81" s="96">
        <f>SUM(F76:F80)</f>
        <v>6348000</v>
      </c>
      <c r="G81" s="27"/>
      <c r="H81" s="96">
        <f>SUM(H76:H80)</f>
        <v>6900000</v>
      </c>
      <c r="I81" s="27"/>
      <c r="J81" s="11"/>
    </row>
    <row r="82" spans="1:10" x14ac:dyDescent="0.25">
      <c r="A82" s="11"/>
      <c r="B82" s="11"/>
      <c r="C82" s="11"/>
      <c r="D82" s="11"/>
      <c r="E82" s="27"/>
      <c r="F82" s="27"/>
      <c r="G82" s="27"/>
      <c r="H82" s="27"/>
      <c r="I82" s="27"/>
      <c r="J82" s="11"/>
    </row>
    <row r="83" spans="1:10" x14ac:dyDescent="0.25">
      <c r="A83" s="11"/>
      <c r="B83" s="11"/>
      <c r="C83" s="18" t="s">
        <v>331</v>
      </c>
      <c r="D83" s="11"/>
      <c r="E83" s="27"/>
      <c r="F83" s="27"/>
      <c r="G83" s="96">
        <f>H81+H74</f>
        <v>8286000</v>
      </c>
      <c r="H83" s="27"/>
      <c r="I83" s="27"/>
      <c r="J83" s="11"/>
    </row>
    <row r="84" spans="1:10" x14ac:dyDescent="0.25">
      <c r="A84" s="11"/>
      <c r="B84" s="11"/>
      <c r="C84" s="18"/>
      <c r="D84" s="11"/>
      <c r="E84" s="27"/>
      <c r="F84" s="27"/>
      <c r="G84" s="27"/>
      <c r="H84" s="27"/>
      <c r="I84" s="27"/>
      <c r="J84" s="11"/>
    </row>
    <row r="85" spans="1:10" x14ac:dyDescent="0.25">
      <c r="A85" s="11"/>
      <c r="B85" s="11"/>
      <c r="C85" s="11"/>
      <c r="D85" s="11"/>
      <c r="E85" s="27"/>
      <c r="F85" s="27"/>
      <c r="G85" s="27"/>
      <c r="H85" s="27"/>
      <c r="I85" s="27"/>
      <c r="J85" s="11"/>
    </row>
    <row r="86" spans="1:10" x14ac:dyDescent="0.25">
      <c r="A86" s="11"/>
      <c r="B86" s="18" t="s">
        <v>386</v>
      </c>
      <c r="C86" s="11"/>
      <c r="D86" s="11"/>
      <c r="E86" s="27"/>
      <c r="F86" s="96">
        <f>H81+H74+H64+H56+H45+H34+H24</f>
        <v>37743220</v>
      </c>
      <c r="G86" s="27"/>
      <c r="H86" s="27"/>
      <c r="I86" s="27"/>
      <c r="J86" s="11"/>
    </row>
    <row r="90" spans="1:10" x14ac:dyDescent="0.25">
      <c r="A90" s="2"/>
      <c r="B90" s="2"/>
      <c r="C90" s="2"/>
      <c r="D90" s="2"/>
      <c r="E90" s="115"/>
      <c r="F90" s="115"/>
      <c r="G90" s="115"/>
      <c r="H90" s="115"/>
      <c r="I90" s="115"/>
    </row>
    <row r="91" spans="1:10" x14ac:dyDescent="0.25">
      <c r="A91" s="2"/>
      <c r="B91" s="2"/>
      <c r="C91" s="2"/>
      <c r="D91" s="2"/>
      <c r="E91" s="115"/>
      <c r="F91" s="115"/>
      <c r="G91" s="115"/>
      <c r="H91" s="115"/>
      <c r="I91" s="115"/>
    </row>
    <row r="92" spans="1:10" x14ac:dyDescent="0.25">
      <c r="A92" s="2"/>
      <c r="B92" s="2"/>
      <c r="C92" s="2"/>
      <c r="D92" s="2"/>
      <c r="E92" s="115"/>
      <c r="F92" s="115"/>
      <c r="G92" s="115"/>
      <c r="H92" s="115"/>
      <c r="I92" s="115"/>
    </row>
  </sheetData>
  <pageMargins left="0.7" right="0.7" top="0.75" bottom="0.75" header="0.3" footer="0.3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23"/>
  <sheetViews>
    <sheetView workbookViewId="0">
      <selection sqref="A1:E1"/>
    </sheetView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customWidth="1"/>
    <col min="5" max="6" width="18" style="26" customWidth="1"/>
  </cols>
  <sheetData>
    <row r="1" spans="1:6" ht="18.75" customHeight="1" x14ac:dyDescent="0.3">
      <c r="A1" s="175" t="s">
        <v>157</v>
      </c>
      <c r="B1" s="173"/>
      <c r="C1" s="173"/>
      <c r="D1" s="173"/>
      <c r="E1" s="176"/>
    </row>
    <row r="2" spans="1:6" ht="18.75" customHeight="1" x14ac:dyDescent="0.3">
      <c r="A2" s="62"/>
      <c r="B2" s="62"/>
      <c r="C2" s="62"/>
      <c r="D2" s="62"/>
      <c r="E2" s="63"/>
    </row>
    <row r="3" spans="1:6" ht="18.75" customHeight="1" x14ac:dyDescent="0.3">
      <c r="A3" s="62"/>
      <c r="B3" s="62"/>
      <c r="C3" s="62"/>
      <c r="D3" s="62"/>
      <c r="E3" s="63"/>
    </row>
    <row r="4" spans="1:6" ht="18.75" customHeight="1" x14ac:dyDescent="0.3">
      <c r="A4" s="62"/>
      <c r="B4" s="62"/>
      <c r="C4" s="62"/>
      <c r="D4" s="62"/>
      <c r="E4" s="63"/>
    </row>
    <row r="5" spans="1:6" ht="18.75" customHeight="1" x14ac:dyDescent="0.3">
      <c r="A5" s="62"/>
      <c r="B5" s="62"/>
      <c r="C5" s="62"/>
      <c r="D5" s="62"/>
      <c r="E5" s="63"/>
    </row>
    <row r="6" spans="1:6" ht="18.75" customHeight="1" x14ac:dyDescent="0.3">
      <c r="A6" s="62"/>
      <c r="B6" s="62"/>
      <c r="C6" s="62"/>
      <c r="D6" s="62"/>
      <c r="E6" s="63"/>
    </row>
    <row r="7" spans="1:6" ht="18.75" customHeight="1" x14ac:dyDescent="0.3">
      <c r="A7" s="62"/>
      <c r="B7" s="62"/>
      <c r="C7" s="62"/>
      <c r="D7" s="62"/>
      <c r="E7" s="63"/>
    </row>
    <row r="8" spans="1:6" ht="18.75" customHeight="1" x14ac:dyDescent="0.3">
      <c r="A8" s="62"/>
      <c r="B8" s="62"/>
      <c r="C8" s="62"/>
      <c r="D8" s="62"/>
      <c r="E8" s="63"/>
    </row>
    <row r="9" spans="1:6" x14ac:dyDescent="0.25">
      <c r="A9" s="4" t="s">
        <v>38</v>
      </c>
      <c r="B9" s="4" t="s">
        <v>39</v>
      </c>
      <c r="C9" s="4" t="s">
        <v>40</v>
      </c>
      <c r="D9" s="4" t="s">
        <v>41</v>
      </c>
      <c r="E9" s="60" t="s">
        <v>121</v>
      </c>
      <c r="F9" s="60" t="s">
        <v>10</v>
      </c>
    </row>
    <row r="10" spans="1:6" x14ac:dyDescent="0.25">
      <c r="B10" t="s">
        <v>158</v>
      </c>
      <c r="C10" t="s">
        <v>159</v>
      </c>
      <c r="D10">
        <v>1</v>
      </c>
      <c r="E10" s="26">
        <v>345000</v>
      </c>
      <c r="F10" s="59">
        <f>E10*D10</f>
        <v>345000</v>
      </c>
    </row>
    <row r="11" spans="1:6" x14ac:dyDescent="0.25">
      <c r="B11" t="s">
        <v>160</v>
      </c>
      <c r="C11" t="s">
        <v>159</v>
      </c>
      <c r="D11">
        <v>1</v>
      </c>
      <c r="E11" s="26">
        <v>230000</v>
      </c>
      <c r="F11" s="59">
        <f>E11*D11</f>
        <v>230000</v>
      </c>
    </row>
    <row r="16" spans="1:6" ht="21" customHeight="1" x14ac:dyDescent="0.35">
      <c r="B16" s="64" t="s">
        <v>161</v>
      </c>
      <c r="F16" s="34">
        <f>SUM(F10:F11)</f>
        <v>575000</v>
      </c>
    </row>
    <row r="19" spans="2:2" x14ac:dyDescent="0.25">
      <c r="B19" t="s">
        <v>117</v>
      </c>
    </row>
    <row r="20" spans="2:2" x14ac:dyDescent="0.25">
      <c r="B20" t="s">
        <v>118</v>
      </c>
    </row>
    <row r="21" spans="2:2" x14ac:dyDescent="0.25">
      <c r="B21" t="s">
        <v>119</v>
      </c>
    </row>
    <row r="23" spans="2:2" x14ac:dyDescent="0.25">
      <c r="B23" t="s">
        <v>120</v>
      </c>
    </row>
  </sheetData>
  <mergeCells count="1">
    <mergeCell ref="A1:E1"/>
  </mergeCells>
  <pageMargins left="0.3" right="0.3" top="0.5" bottom="0.5" header="0.5" footer="0.5"/>
  <pageSetup paperSize="9" fitToHeight="0" orientation="landscape" horizontalDpi="4294967292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19"/>
  <sheetViews>
    <sheetView workbookViewId="0"/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customWidth="1"/>
    <col min="5" max="6" width="18" customWidth="1"/>
  </cols>
  <sheetData>
    <row r="1" spans="1:6" ht="18.75" customHeight="1" x14ac:dyDescent="0.25">
      <c r="A1" t="s">
        <v>6</v>
      </c>
    </row>
    <row r="2" spans="1:6" x14ac:dyDescent="0.25">
      <c r="A2" s="4" t="s">
        <v>38</v>
      </c>
      <c r="B2" s="4" t="s">
        <v>39</v>
      </c>
      <c r="C2" s="4" t="s">
        <v>40</v>
      </c>
      <c r="D2" s="4" t="s">
        <v>41</v>
      </c>
      <c r="E2" s="4" t="s">
        <v>121</v>
      </c>
      <c r="F2" s="4" t="s">
        <v>10</v>
      </c>
    </row>
    <row r="3" spans="1:6" x14ac:dyDescent="0.25">
      <c r="B3" s="2" t="s">
        <v>162</v>
      </c>
      <c r="F3" s="3"/>
    </row>
    <row r="15" spans="1:6" x14ac:dyDescent="0.25">
      <c r="B15" t="s">
        <v>117</v>
      </c>
    </row>
    <row r="16" spans="1:6" x14ac:dyDescent="0.25">
      <c r="B16" t="s">
        <v>118</v>
      </c>
    </row>
    <row r="17" spans="2:2" x14ac:dyDescent="0.25">
      <c r="B17" t="s">
        <v>119</v>
      </c>
    </row>
    <row r="19" spans="2:2" x14ac:dyDescent="0.25">
      <c r="B19" t="s">
        <v>120</v>
      </c>
    </row>
  </sheetData>
  <pageMargins left="0.3" right="0.3" top="0.5" bottom="0.5" header="0.5" footer="0.5"/>
  <pageSetup paperSize="9" fitToHeight="0" orientation="landscape" horizontalDpi="4294967292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75"/>
  <sheetViews>
    <sheetView tabSelected="1" workbookViewId="0"/>
  </sheetViews>
  <sheetFormatPr baseColWidth="10" defaultColWidth="9.140625" defaultRowHeight="15" x14ac:dyDescent="0.25"/>
  <cols>
    <col min="1" max="1" width="22.140625" customWidth="1"/>
    <col min="2" max="2" width="64.5703125" customWidth="1"/>
    <col min="3" max="3" width="10" customWidth="1"/>
    <col min="4" max="4" width="12" customWidth="1"/>
    <col min="5" max="6" width="18" style="16" customWidth="1"/>
    <col min="7" max="7" width="15.7109375" customWidth="1"/>
    <col min="8" max="8" width="22" customWidth="1"/>
    <col min="9" max="9" width="25.5703125" customWidth="1"/>
    <col min="10" max="10" width="56.42578125" customWidth="1"/>
  </cols>
  <sheetData>
    <row r="1" spans="1:10" ht="18.75" customHeight="1" x14ac:dyDescent="0.3">
      <c r="A1" s="1" t="s">
        <v>169</v>
      </c>
    </row>
    <row r="8" spans="1:10" x14ac:dyDescent="0.25">
      <c r="A8" t="s">
        <v>163</v>
      </c>
    </row>
    <row r="12" spans="1:10" x14ac:dyDescent="0.25">
      <c r="A12" s="128" t="s">
        <v>38</v>
      </c>
      <c r="B12" s="128" t="s">
        <v>39</v>
      </c>
      <c r="C12" s="128" t="s">
        <v>40</v>
      </c>
      <c r="D12" s="129" t="s">
        <v>251</v>
      </c>
      <c r="E12" s="129" t="s">
        <v>337</v>
      </c>
      <c r="F12" s="129" t="s">
        <v>338</v>
      </c>
      <c r="G12" s="129" t="s">
        <v>44</v>
      </c>
      <c r="H12" s="129" t="s">
        <v>45</v>
      </c>
      <c r="I12" s="129" t="s">
        <v>383</v>
      </c>
      <c r="J12" s="128" t="s">
        <v>123</v>
      </c>
    </row>
    <row r="13" spans="1:10" ht="26.25" customHeight="1" x14ac:dyDescent="0.25">
      <c r="A13" s="130" t="s">
        <v>398</v>
      </c>
      <c r="B13" s="130" t="s">
        <v>460</v>
      </c>
      <c r="C13" s="130" t="s">
        <v>159</v>
      </c>
      <c r="D13" s="131">
        <v>135</v>
      </c>
      <c r="E13" s="131">
        <v>35000</v>
      </c>
      <c r="F13" s="131">
        <v>5433750</v>
      </c>
      <c r="G13" s="131">
        <v>26750</v>
      </c>
      <c r="H13" s="131">
        <f t="shared" ref="H13:H23" si="0">G13*D13</f>
        <v>3611250</v>
      </c>
      <c r="I13" s="132" t="str">
        <f t="shared" ref="I13:I23" si="1">F13-H13 &amp; " (" &amp; TEXT((F13-H13)/F13, "0,0%") &amp; ")"</f>
        <v>1822500 (33,5%)</v>
      </c>
      <c r="J13" s="130" t="s">
        <v>461</v>
      </c>
    </row>
    <row r="14" spans="1:10" x14ac:dyDescent="0.25">
      <c r="A14" s="133" t="s">
        <v>399</v>
      </c>
      <c r="B14" s="133" t="s">
        <v>462</v>
      </c>
      <c r="C14" s="133" t="s">
        <v>159</v>
      </c>
      <c r="D14" s="134">
        <v>25</v>
      </c>
      <c r="E14" s="134">
        <v>67500</v>
      </c>
      <c r="F14" s="134">
        <v>1868750</v>
      </c>
      <c r="G14" s="134">
        <v>2604</v>
      </c>
      <c r="H14" s="134">
        <f t="shared" si="0"/>
        <v>65100</v>
      </c>
      <c r="I14" s="135" t="str">
        <f t="shared" si="1"/>
        <v>1803650 (96,5%)</v>
      </c>
      <c r="J14" s="133" t="s">
        <v>461</v>
      </c>
    </row>
    <row r="15" spans="1:10" x14ac:dyDescent="0.25">
      <c r="A15" s="130" t="s">
        <v>401</v>
      </c>
      <c r="B15" s="130" t="s">
        <v>463</v>
      </c>
      <c r="C15" s="130" t="s">
        <v>159</v>
      </c>
      <c r="D15" s="131">
        <v>20</v>
      </c>
      <c r="E15" s="131">
        <v>40250</v>
      </c>
      <c r="F15" s="131">
        <v>805000</v>
      </c>
      <c r="G15" s="131">
        <v>1860</v>
      </c>
      <c r="H15" s="131">
        <f t="shared" si="0"/>
        <v>37200</v>
      </c>
      <c r="I15" s="132" t="str">
        <f t="shared" si="1"/>
        <v>767800 (95,4%)</v>
      </c>
      <c r="J15" s="130" t="s">
        <v>461</v>
      </c>
    </row>
    <row r="16" spans="1:10" x14ac:dyDescent="0.25">
      <c r="A16" s="133" t="s">
        <v>403</v>
      </c>
      <c r="B16" s="133" t="s">
        <v>464</v>
      </c>
      <c r="C16" s="133" t="s">
        <v>159</v>
      </c>
      <c r="D16" s="134">
        <v>36</v>
      </c>
      <c r="E16" s="134">
        <v>74750</v>
      </c>
      <c r="F16" s="134">
        <v>2691000</v>
      </c>
      <c r="G16" s="134">
        <v>2976</v>
      </c>
      <c r="H16" s="134">
        <f t="shared" si="0"/>
        <v>107136</v>
      </c>
      <c r="I16" s="135" t="str">
        <f t="shared" si="1"/>
        <v>2583864 (96,0%)</v>
      </c>
      <c r="J16" s="133" t="s">
        <v>461</v>
      </c>
    </row>
    <row r="17" spans="1:10" x14ac:dyDescent="0.25">
      <c r="A17" s="130" t="s">
        <v>405</v>
      </c>
      <c r="B17" s="130" t="s">
        <v>164</v>
      </c>
      <c r="C17" s="130" t="s">
        <v>159</v>
      </c>
      <c r="D17" s="131">
        <v>32</v>
      </c>
      <c r="E17" s="131">
        <v>10350</v>
      </c>
      <c r="F17" s="131">
        <v>331200</v>
      </c>
      <c r="G17" s="131">
        <v>1550</v>
      </c>
      <c r="H17" s="131">
        <f t="shared" si="0"/>
        <v>49600</v>
      </c>
      <c r="I17" s="132" t="str">
        <f t="shared" si="1"/>
        <v>281600 (85,0%)</v>
      </c>
      <c r="J17" s="130" t="s">
        <v>461</v>
      </c>
    </row>
    <row r="18" spans="1:10" x14ac:dyDescent="0.25">
      <c r="A18" s="133" t="s">
        <v>407</v>
      </c>
      <c r="B18" s="133" t="s">
        <v>465</v>
      </c>
      <c r="C18" s="133" t="s">
        <v>159</v>
      </c>
      <c r="D18" s="134">
        <v>8</v>
      </c>
      <c r="E18" s="134">
        <v>13800</v>
      </c>
      <c r="F18" s="134">
        <v>110400</v>
      </c>
      <c r="G18" s="134">
        <v>1860</v>
      </c>
      <c r="H18" s="134">
        <f t="shared" si="0"/>
        <v>14880</v>
      </c>
      <c r="I18" s="135" t="str">
        <f t="shared" si="1"/>
        <v>95520 (86,5%)</v>
      </c>
      <c r="J18" s="133" t="s">
        <v>461</v>
      </c>
    </row>
    <row r="19" spans="1:10" x14ac:dyDescent="0.25">
      <c r="A19" s="130" t="s">
        <v>409</v>
      </c>
      <c r="B19" s="130" t="s">
        <v>466</v>
      </c>
      <c r="C19" s="130" t="s">
        <v>159</v>
      </c>
      <c r="D19" s="131">
        <v>12</v>
      </c>
      <c r="E19" s="131">
        <v>20700</v>
      </c>
      <c r="F19" s="131">
        <v>248400</v>
      </c>
      <c r="G19" s="131">
        <v>2604</v>
      </c>
      <c r="H19" s="131">
        <f t="shared" si="0"/>
        <v>31248</v>
      </c>
      <c r="I19" s="132" t="str">
        <f t="shared" si="1"/>
        <v>217152 (87,4%)</v>
      </c>
      <c r="J19" s="130" t="s">
        <v>461</v>
      </c>
    </row>
    <row r="20" spans="1:10" x14ac:dyDescent="0.25">
      <c r="A20" s="133" t="s">
        <v>411</v>
      </c>
      <c r="B20" s="133" t="s">
        <v>467</v>
      </c>
      <c r="C20" s="133" t="s">
        <v>159</v>
      </c>
      <c r="D20" s="134">
        <v>76</v>
      </c>
      <c r="E20" s="134">
        <v>34500</v>
      </c>
      <c r="F20" s="134">
        <v>2622000</v>
      </c>
      <c r="G20" s="134">
        <v>1426</v>
      </c>
      <c r="H20" s="134">
        <f t="shared" si="0"/>
        <v>108376</v>
      </c>
      <c r="I20" s="135" t="str">
        <f t="shared" si="1"/>
        <v>2513624 (95,9%)</v>
      </c>
      <c r="J20" s="133" t="s">
        <v>461</v>
      </c>
    </row>
    <row r="21" spans="1:10" x14ac:dyDescent="0.25">
      <c r="A21" s="130" t="s">
        <v>413</v>
      </c>
      <c r="B21" s="130" t="s">
        <v>468</v>
      </c>
      <c r="C21" s="130" t="s">
        <v>159</v>
      </c>
      <c r="D21" s="131">
        <v>40</v>
      </c>
      <c r="E21" s="131">
        <v>18400</v>
      </c>
      <c r="F21" s="131">
        <v>736000</v>
      </c>
      <c r="G21" s="131">
        <v>1302</v>
      </c>
      <c r="H21" s="131">
        <f t="shared" si="0"/>
        <v>52080</v>
      </c>
      <c r="I21" s="132" t="str">
        <f t="shared" si="1"/>
        <v>683920 (92,9%)</v>
      </c>
      <c r="J21" s="130" t="s">
        <v>461</v>
      </c>
    </row>
    <row r="22" spans="1:10" x14ac:dyDescent="0.25">
      <c r="A22" s="133" t="s">
        <v>414</v>
      </c>
      <c r="B22" s="133" t="s">
        <v>469</v>
      </c>
      <c r="C22" s="133" t="s">
        <v>159</v>
      </c>
      <c r="D22" s="134">
        <v>24</v>
      </c>
      <c r="E22" s="134">
        <v>20700</v>
      </c>
      <c r="F22" s="134">
        <v>496800</v>
      </c>
      <c r="G22" s="134">
        <v>1488</v>
      </c>
      <c r="H22" s="134">
        <f t="shared" si="0"/>
        <v>35712</v>
      </c>
      <c r="I22" s="135" t="str">
        <f t="shared" si="1"/>
        <v>461088 (92,8%)</v>
      </c>
      <c r="J22" s="133" t="s">
        <v>461</v>
      </c>
    </row>
    <row r="23" spans="1:10" x14ac:dyDescent="0.25">
      <c r="A23" s="130" t="s">
        <v>416</v>
      </c>
      <c r="B23" s="130" t="s">
        <v>470</v>
      </c>
      <c r="C23" s="136" t="s">
        <v>159</v>
      </c>
      <c r="D23" s="137">
        <v>20</v>
      </c>
      <c r="E23" s="137">
        <v>6900</v>
      </c>
      <c r="F23" s="137">
        <v>138000</v>
      </c>
      <c r="G23" s="137">
        <v>930</v>
      </c>
      <c r="H23" s="137">
        <f t="shared" si="0"/>
        <v>18600</v>
      </c>
      <c r="I23" s="138" t="str">
        <f t="shared" si="1"/>
        <v>119400 (86,5%)</v>
      </c>
      <c r="J23" s="136" t="s">
        <v>461</v>
      </c>
    </row>
    <row r="24" spans="1:10" x14ac:dyDescent="0.25">
      <c r="A24" s="139" t="s">
        <v>64</v>
      </c>
      <c r="B24" s="159" t="s">
        <v>471</v>
      </c>
      <c r="C24" s="140"/>
      <c r="D24" s="141"/>
      <c r="E24" s="141"/>
      <c r="F24" s="141">
        <f>SUM(F13:F23)</f>
        <v>15481300</v>
      </c>
      <c r="G24" s="141">
        <f>SUM(H13:H23)</f>
        <v>4131182</v>
      </c>
      <c r="H24" s="141">
        <f>SUM(H13:H23)</f>
        <v>4131182</v>
      </c>
      <c r="I24" s="141" t="str">
        <f>(F24-H24)&amp;" (" &amp; TEXT((F24-H24)/F24,"0.0%") &amp; ")"</f>
        <v>11350118 (7.3%)</v>
      </c>
      <c r="J24" s="157"/>
    </row>
    <row r="25" spans="1:10" x14ac:dyDescent="0.25">
      <c r="A25" s="130" t="s">
        <v>432</v>
      </c>
      <c r="B25" s="130" t="s">
        <v>472</v>
      </c>
      <c r="C25" s="142" t="s">
        <v>159</v>
      </c>
      <c r="D25" s="143">
        <v>64</v>
      </c>
      <c r="E25" s="143">
        <v>67275</v>
      </c>
      <c r="F25" s="143">
        <v>4305600</v>
      </c>
      <c r="G25" s="143">
        <v>5890</v>
      </c>
      <c r="H25" s="143">
        <f>G25*D25</f>
        <v>376960</v>
      </c>
      <c r="I25" s="144" t="str">
        <f>F25-H25 &amp; " (" &amp; TEXT((F25-H25)/F25, "0,0%") &amp; ")"</f>
        <v>3928640 (91,2%)</v>
      </c>
      <c r="J25" s="142" t="s">
        <v>461</v>
      </c>
    </row>
    <row r="26" spans="1:10" x14ac:dyDescent="0.25">
      <c r="A26" s="133" t="s">
        <v>434</v>
      </c>
      <c r="B26" s="133" t="s">
        <v>473</v>
      </c>
      <c r="C26" s="145" t="s">
        <v>159</v>
      </c>
      <c r="D26" s="146">
        <v>76</v>
      </c>
      <c r="E26" s="146">
        <v>43125</v>
      </c>
      <c r="F26" s="146">
        <v>3277500</v>
      </c>
      <c r="G26" s="146">
        <v>5456</v>
      </c>
      <c r="H26" s="146">
        <f>G26*D26</f>
        <v>414656</v>
      </c>
      <c r="I26" s="147" t="str">
        <f>F26-H26 &amp; " (" &amp; TEXT((F26-H26)/F26, "0,0%") &amp; ")"</f>
        <v>2862844 (87,3%)</v>
      </c>
      <c r="J26" s="145" t="s">
        <v>461</v>
      </c>
    </row>
    <row r="27" spans="1:10" x14ac:dyDescent="0.25">
      <c r="A27" s="148" t="s">
        <v>73</v>
      </c>
      <c r="B27" s="160" t="s">
        <v>474</v>
      </c>
      <c r="C27" s="149"/>
      <c r="D27" s="150"/>
      <c r="E27" s="150"/>
      <c r="F27" s="150">
        <f>SUM(F25:F26)</f>
        <v>7583100</v>
      </c>
      <c r="G27" s="150">
        <f>SUM(H16:H26)</f>
        <v>5340430</v>
      </c>
      <c r="H27" s="150">
        <f>SUM(H25:H26)</f>
        <v>791616</v>
      </c>
      <c r="I27" s="150" t="str">
        <f>(F27-H27)&amp;" (" &amp; TEXT((F27-H27)/F27,"0.0%") &amp; ")"</f>
        <v>6791484 (9.0%)</v>
      </c>
      <c r="J27" s="158"/>
    </row>
    <row r="28" spans="1:10" x14ac:dyDescent="0.25">
      <c r="A28" s="133" t="s">
        <v>439</v>
      </c>
      <c r="B28" s="133" t="s">
        <v>339</v>
      </c>
      <c r="C28" s="151" t="s">
        <v>159</v>
      </c>
      <c r="D28" s="152">
        <v>128</v>
      </c>
      <c r="E28" s="152">
        <v>8050</v>
      </c>
      <c r="F28" s="152">
        <v>1030400</v>
      </c>
      <c r="G28" s="152">
        <v>713</v>
      </c>
      <c r="H28" s="152">
        <f t="shared" ref="H28:H38" si="2">G28*D28</f>
        <v>91264</v>
      </c>
      <c r="I28" s="153" t="str">
        <f t="shared" ref="I28:I38" si="3">F28-H28 &amp; " (" &amp; TEXT((F28-H28)/F28, "0,0%") &amp; ")"</f>
        <v>939136 (91,1%)</v>
      </c>
      <c r="J28" s="151" t="s">
        <v>461</v>
      </c>
    </row>
    <row r="29" spans="1:10" x14ac:dyDescent="0.25">
      <c r="A29" s="130" t="s">
        <v>441</v>
      </c>
      <c r="B29" s="130" t="s">
        <v>340</v>
      </c>
      <c r="C29" s="130" t="s">
        <v>159</v>
      </c>
      <c r="D29" s="131">
        <v>90</v>
      </c>
      <c r="E29" s="131">
        <v>8050</v>
      </c>
      <c r="F29" s="131">
        <v>724500</v>
      </c>
      <c r="G29" s="131">
        <v>837</v>
      </c>
      <c r="H29" s="131">
        <f t="shared" si="2"/>
        <v>75330</v>
      </c>
      <c r="I29" s="132" t="str">
        <f t="shared" si="3"/>
        <v>649170 (89,6%)</v>
      </c>
      <c r="J29" s="130" t="s">
        <v>461</v>
      </c>
    </row>
    <row r="30" spans="1:10" x14ac:dyDescent="0.25">
      <c r="A30" s="133" t="s">
        <v>442</v>
      </c>
      <c r="B30" s="133" t="s">
        <v>341</v>
      </c>
      <c r="C30" s="133" t="s">
        <v>159</v>
      </c>
      <c r="D30" s="134">
        <v>20</v>
      </c>
      <c r="E30" s="134">
        <v>10350</v>
      </c>
      <c r="F30" s="134">
        <v>207000</v>
      </c>
      <c r="G30" s="134">
        <v>1364</v>
      </c>
      <c r="H30" s="134">
        <f t="shared" si="2"/>
        <v>27280</v>
      </c>
      <c r="I30" s="135" t="str">
        <f t="shared" si="3"/>
        <v>179720 (86,8%)</v>
      </c>
      <c r="J30" s="133" t="s">
        <v>461</v>
      </c>
    </row>
    <row r="31" spans="1:10" x14ac:dyDescent="0.25">
      <c r="A31" s="130" t="s">
        <v>443</v>
      </c>
      <c r="B31" s="130" t="s">
        <v>342</v>
      </c>
      <c r="C31" s="130" t="s">
        <v>159</v>
      </c>
      <c r="D31" s="131">
        <v>15</v>
      </c>
      <c r="E31" s="131">
        <v>46000</v>
      </c>
      <c r="F31" s="131">
        <v>690000</v>
      </c>
      <c r="G31" s="131">
        <v>4216</v>
      </c>
      <c r="H31" s="131">
        <f t="shared" si="2"/>
        <v>63240</v>
      </c>
      <c r="I31" s="132" t="str">
        <f t="shared" si="3"/>
        <v>626760 (90,8%)</v>
      </c>
      <c r="J31" s="130" t="s">
        <v>461</v>
      </c>
    </row>
    <row r="32" spans="1:10" x14ac:dyDescent="0.25">
      <c r="A32" s="133" t="s">
        <v>445</v>
      </c>
      <c r="B32" s="133" t="s">
        <v>475</v>
      </c>
      <c r="C32" s="133" t="s">
        <v>159</v>
      </c>
      <c r="D32" s="134">
        <v>1</v>
      </c>
      <c r="E32" s="134">
        <v>4197500</v>
      </c>
      <c r="F32" s="134">
        <v>4197500</v>
      </c>
      <c r="G32" s="134">
        <v>40300</v>
      </c>
      <c r="H32" s="134">
        <f t="shared" si="2"/>
        <v>40300</v>
      </c>
      <c r="I32" s="135" t="str">
        <f t="shared" si="3"/>
        <v>4157200 (99,0%)</v>
      </c>
      <c r="J32" s="133" t="s">
        <v>461</v>
      </c>
    </row>
    <row r="33" spans="1:10" x14ac:dyDescent="0.25">
      <c r="A33" s="130" t="s">
        <v>476</v>
      </c>
      <c r="B33" s="130" t="s">
        <v>343</v>
      </c>
      <c r="C33" s="130" t="s">
        <v>159</v>
      </c>
      <c r="D33" s="131">
        <v>324</v>
      </c>
      <c r="E33" s="131">
        <v>5750</v>
      </c>
      <c r="F33" s="131">
        <v>1863000</v>
      </c>
      <c r="G33" s="131">
        <v>527</v>
      </c>
      <c r="H33" s="131">
        <f t="shared" si="2"/>
        <v>170748</v>
      </c>
      <c r="I33" s="132" t="str">
        <f t="shared" si="3"/>
        <v>1692252 (90,8%)</v>
      </c>
      <c r="J33" s="130" t="s">
        <v>461</v>
      </c>
    </row>
    <row r="34" spans="1:10" x14ac:dyDescent="0.25">
      <c r="A34" s="133" t="s">
        <v>477</v>
      </c>
      <c r="B34" s="133" t="s">
        <v>344</v>
      </c>
      <c r="C34" s="133" t="s">
        <v>159</v>
      </c>
      <c r="D34" s="134">
        <v>100</v>
      </c>
      <c r="E34" s="134">
        <v>8050</v>
      </c>
      <c r="F34" s="134">
        <v>805000</v>
      </c>
      <c r="G34" s="134">
        <v>682</v>
      </c>
      <c r="H34" s="134">
        <f t="shared" si="2"/>
        <v>68200</v>
      </c>
      <c r="I34" s="135" t="str">
        <f t="shared" si="3"/>
        <v>736800 (91,5%)</v>
      </c>
      <c r="J34" s="133" t="s">
        <v>461</v>
      </c>
    </row>
    <row r="35" spans="1:10" x14ac:dyDescent="0.25">
      <c r="A35" s="130" t="s">
        <v>478</v>
      </c>
      <c r="B35" s="130" t="s">
        <v>479</v>
      </c>
      <c r="C35" s="130" t="s">
        <v>159</v>
      </c>
      <c r="D35" s="131">
        <v>50</v>
      </c>
      <c r="E35" s="131">
        <v>5750</v>
      </c>
      <c r="F35" s="131">
        <v>287500</v>
      </c>
      <c r="G35" s="131">
        <v>744</v>
      </c>
      <c r="H35" s="131">
        <f t="shared" si="2"/>
        <v>37200</v>
      </c>
      <c r="I35" s="132" t="str">
        <f t="shared" si="3"/>
        <v>250300 (87,1%)</v>
      </c>
      <c r="J35" s="130" t="s">
        <v>461</v>
      </c>
    </row>
    <row r="36" spans="1:10" x14ac:dyDescent="0.25">
      <c r="A36" s="133" t="s">
        <v>480</v>
      </c>
      <c r="B36" s="133" t="s">
        <v>481</v>
      </c>
      <c r="C36" s="133" t="s">
        <v>159</v>
      </c>
      <c r="D36" s="134">
        <v>46</v>
      </c>
      <c r="E36" s="134">
        <v>5750</v>
      </c>
      <c r="F36" s="134">
        <v>264500</v>
      </c>
      <c r="G36" s="134">
        <v>589</v>
      </c>
      <c r="H36" s="134">
        <f t="shared" si="2"/>
        <v>27094</v>
      </c>
      <c r="I36" s="135" t="str">
        <f t="shared" si="3"/>
        <v>237406 (89,8%)</v>
      </c>
      <c r="J36" s="133" t="s">
        <v>461</v>
      </c>
    </row>
    <row r="37" spans="1:10" x14ac:dyDescent="0.25">
      <c r="A37" s="130" t="s">
        <v>482</v>
      </c>
      <c r="B37" s="130" t="s">
        <v>345</v>
      </c>
      <c r="C37" s="130" t="s">
        <v>159</v>
      </c>
      <c r="D37" s="131">
        <v>46</v>
      </c>
      <c r="E37" s="131">
        <v>5750</v>
      </c>
      <c r="F37" s="131">
        <v>264500</v>
      </c>
      <c r="G37" s="131">
        <v>806</v>
      </c>
      <c r="H37" s="131">
        <f t="shared" si="2"/>
        <v>37076</v>
      </c>
      <c r="I37" s="132" t="str">
        <f t="shared" si="3"/>
        <v>227424 (86,0%)</v>
      </c>
      <c r="J37" s="130" t="s">
        <v>461</v>
      </c>
    </row>
    <row r="38" spans="1:10" x14ac:dyDescent="0.25">
      <c r="A38" s="133" t="s">
        <v>483</v>
      </c>
      <c r="B38" s="133" t="s">
        <v>346</v>
      </c>
      <c r="C38" s="145" t="s">
        <v>159</v>
      </c>
      <c r="D38" s="146">
        <v>25</v>
      </c>
      <c r="E38" s="146">
        <v>8050</v>
      </c>
      <c r="F38" s="146">
        <v>201250</v>
      </c>
      <c r="G38" s="146">
        <v>1860</v>
      </c>
      <c r="H38" s="146">
        <f t="shared" si="2"/>
        <v>46500</v>
      </c>
      <c r="I38" s="147" t="str">
        <f t="shared" si="3"/>
        <v>154750 (76,9%)</v>
      </c>
      <c r="J38" s="145" t="s">
        <v>461</v>
      </c>
    </row>
    <row r="39" spans="1:10" x14ac:dyDescent="0.25">
      <c r="A39" s="148" t="s">
        <v>484</v>
      </c>
      <c r="B39" s="160" t="s">
        <v>485</v>
      </c>
      <c r="C39" s="149"/>
      <c r="D39" s="150"/>
      <c r="E39" s="150"/>
      <c r="F39" s="150">
        <f>SUM(F28:F38)</f>
        <v>10535150</v>
      </c>
      <c r="G39" s="150">
        <f>SUM(H28:H38)</f>
        <v>684232</v>
      </c>
      <c r="H39" s="150">
        <f>SUM(H28:H38)</f>
        <v>684232</v>
      </c>
      <c r="I39" s="150" t="str">
        <f>(F39-H39)&amp;" (" &amp; TEXT((F39-H39)/F39,"0.0%") &amp; ")"</f>
        <v>9850918 (9.4%)</v>
      </c>
      <c r="J39" s="149"/>
    </row>
    <row r="40" spans="1:10" x14ac:dyDescent="0.25">
      <c r="A40" s="133" t="s">
        <v>446</v>
      </c>
      <c r="B40" s="133" t="s">
        <v>347</v>
      </c>
      <c r="C40" s="151" t="s">
        <v>140</v>
      </c>
      <c r="D40" s="152">
        <v>6500</v>
      </c>
      <c r="E40" s="152">
        <v>1150</v>
      </c>
      <c r="F40" s="152">
        <v>7475000</v>
      </c>
      <c r="G40" s="152">
        <v>403</v>
      </c>
      <c r="H40" s="152">
        <f t="shared" ref="H40:H64" si="4">G40*D40</f>
        <v>2619500</v>
      </c>
      <c r="I40" s="153" t="str">
        <f t="shared" ref="I40:I64" si="5">F40-H40 &amp; " (" &amp; TEXT((F40-H40)/F40, "0,0%") &amp; ")"</f>
        <v>4855500 (65,0%)</v>
      </c>
      <c r="J40" s="151" t="s">
        <v>461</v>
      </c>
    </row>
    <row r="41" spans="1:10" x14ac:dyDescent="0.25">
      <c r="A41" s="130" t="s">
        <v>486</v>
      </c>
      <c r="B41" s="130" t="s">
        <v>348</v>
      </c>
      <c r="C41" s="130" t="s">
        <v>140</v>
      </c>
      <c r="D41" s="131">
        <v>7500</v>
      </c>
      <c r="E41" s="131">
        <v>1495</v>
      </c>
      <c r="F41" s="131">
        <v>11212500</v>
      </c>
      <c r="G41" s="131">
        <v>558</v>
      </c>
      <c r="H41" s="131">
        <f t="shared" si="4"/>
        <v>4185000</v>
      </c>
      <c r="I41" s="132" t="str">
        <f t="shared" si="5"/>
        <v>7027500 (62,7%)</v>
      </c>
      <c r="J41" s="130" t="s">
        <v>461</v>
      </c>
    </row>
    <row r="42" spans="1:10" x14ac:dyDescent="0.25">
      <c r="A42" s="133" t="s">
        <v>487</v>
      </c>
      <c r="B42" s="133" t="s">
        <v>349</v>
      </c>
      <c r="C42" s="133" t="s">
        <v>140</v>
      </c>
      <c r="D42" s="134">
        <v>500</v>
      </c>
      <c r="E42" s="134">
        <v>5750</v>
      </c>
      <c r="F42" s="134">
        <v>2875000</v>
      </c>
      <c r="G42" s="134">
        <v>961</v>
      </c>
      <c r="H42" s="134">
        <f t="shared" si="4"/>
        <v>480500</v>
      </c>
      <c r="I42" s="135" t="str">
        <f t="shared" si="5"/>
        <v>2394500 (83,3%)</v>
      </c>
      <c r="J42" s="133" t="s">
        <v>461</v>
      </c>
    </row>
    <row r="43" spans="1:10" x14ac:dyDescent="0.25">
      <c r="A43" s="130" t="s">
        <v>488</v>
      </c>
      <c r="B43" s="130" t="s">
        <v>350</v>
      </c>
      <c r="C43" s="130" t="s">
        <v>140</v>
      </c>
      <c r="D43" s="131">
        <v>300</v>
      </c>
      <c r="E43" s="131">
        <v>16100</v>
      </c>
      <c r="F43" s="131">
        <v>4830000</v>
      </c>
      <c r="G43" s="131">
        <v>2356</v>
      </c>
      <c r="H43" s="131">
        <f t="shared" si="4"/>
        <v>706800</v>
      </c>
      <c r="I43" s="132" t="str">
        <f t="shared" si="5"/>
        <v>4123200 (85,4%)</v>
      </c>
      <c r="J43" s="130" t="s">
        <v>461</v>
      </c>
    </row>
    <row r="44" spans="1:10" x14ac:dyDescent="0.25">
      <c r="A44" s="133" t="s">
        <v>489</v>
      </c>
      <c r="B44" s="133" t="s">
        <v>351</v>
      </c>
      <c r="C44" s="133" t="s">
        <v>140</v>
      </c>
      <c r="D44" s="134">
        <v>300</v>
      </c>
      <c r="E44" s="134">
        <v>27025</v>
      </c>
      <c r="F44" s="134">
        <v>8107500</v>
      </c>
      <c r="G44" s="134">
        <v>5270</v>
      </c>
      <c r="H44" s="134">
        <f t="shared" si="4"/>
        <v>1581000</v>
      </c>
      <c r="I44" s="135" t="str">
        <f t="shared" si="5"/>
        <v>6526500 (80,5%)</v>
      </c>
      <c r="J44" s="133" t="s">
        <v>461</v>
      </c>
    </row>
    <row r="45" spans="1:10" x14ac:dyDescent="0.25">
      <c r="A45" s="130" t="s">
        <v>490</v>
      </c>
      <c r="B45" s="130" t="s">
        <v>491</v>
      </c>
      <c r="C45" s="130" t="s">
        <v>159</v>
      </c>
      <c r="D45" s="131">
        <v>80</v>
      </c>
      <c r="E45" s="131">
        <v>26500</v>
      </c>
      <c r="F45" s="131">
        <v>2120000</v>
      </c>
      <c r="G45" s="131">
        <v>4712</v>
      </c>
      <c r="H45" s="131">
        <f t="shared" si="4"/>
        <v>376960</v>
      </c>
      <c r="I45" s="132" t="str">
        <f t="shared" si="5"/>
        <v>1743040 (82,2%)</v>
      </c>
      <c r="J45" s="130" t="s">
        <v>461</v>
      </c>
    </row>
    <row r="46" spans="1:10" x14ac:dyDescent="0.25">
      <c r="A46" s="133" t="s">
        <v>492</v>
      </c>
      <c r="B46" s="133" t="s">
        <v>352</v>
      </c>
      <c r="C46" s="133" t="s">
        <v>140</v>
      </c>
      <c r="D46" s="134">
        <v>150</v>
      </c>
      <c r="E46" s="134">
        <v>46000</v>
      </c>
      <c r="F46" s="134">
        <v>6900000</v>
      </c>
      <c r="G46" s="134">
        <v>6820</v>
      </c>
      <c r="H46" s="134">
        <f t="shared" si="4"/>
        <v>1023000</v>
      </c>
      <c r="I46" s="135" t="str">
        <f t="shared" si="5"/>
        <v>5877000 (85,2%)</v>
      </c>
      <c r="J46" s="133" t="s">
        <v>461</v>
      </c>
    </row>
    <row r="47" spans="1:10" x14ac:dyDescent="0.25">
      <c r="A47" s="130" t="s">
        <v>493</v>
      </c>
      <c r="B47" s="130" t="s">
        <v>165</v>
      </c>
      <c r="C47" s="130" t="s">
        <v>140</v>
      </c>
      <c r="D47" s="131">
        <v>50</v>
      </c>
      <c r="E47" s="131">
        <v>14375</v>
      </c>
      <c r="F47" s="131">
        <v>718750</v>
      </c>
      <c r="G47" s="131">
        <v>5270</v>
      </c>
      <c r="H47" s="131">
        <f t="shared" si="4"/>
        <v>263500</v>
      </c>
      <c r="I47" s="132" t="str">
        <f t="shared" si="5"/>
        <v>455250 (63,3%)</v>
      </c>
      <c r="J47" s="130" t="s">
        <v>461</v>
      </c>
    </row>
    <row r="48" spans="1:10" x14ac:dyDescent="0.25">
      <c r="A48" s="133" t="s">
        <v>494</v>
      </c>
      <c r="B48" s="133" t="s">
        <v>495</v>
      </c>
      <c r="C48" s="133" t="s">
        <v>159</v>
      </c>
      <c r="D48" s="134">
        <v>10</v>
      </c>
      <c r="E48" s="134">
        <v>51750</v>
      </c>
      <c r="F48" s="134">
        <v>517500</v>
      </c>
      <c r="G48" s="134">
        <v>8060</v>
      </c>
      <c r="H48" s="134">
        <f t="shared" si="4"/>
        <v>80600</v>
      </c>
      <c r="I48" s="135" t="str">
        <f t="shared" si="5"/>
        <v>436900 (84,4%)</v>
      </c>
      <c r="J48" s="133" t="s">
        <v>461</v>
      </c>
    </row>
    <row r="49" spans="1:10" x14ac:dyDescent="0.25">
      <c r="A49" s="130" t="s">
        <v>496</v>
      </c>
      <c r="B49" s="130" t="s">
        <v>353</v>
      </c>
      <c r="C49" s="130" t="s">
        <v>159</v>
      </c>
      <c r="D49" s="131">
        <v>15</v>
      </c>
      <c r="E49" s="131">
        <v>43700</v>
      </c>
      <c r="F49" s="131">
        <v>655500</v>
      </c>
      <c r="G49" s="131">
        <v>6820</v>
      </c>
      <c r="H49" s="131">
        <f t="shared" si="4"/>
        <v>102300</v>
      </c>
      <c r="I49" s="132" t="str">
        <f t="shared" si="5"/>
        <v>553200 (84,4%)</v>
      </c>
      <c r="J49" s="130" t="s">
        <v>461</v>
      </c>
    </row>
    <row r="50" spans="1:10" x14ac:dyDescent="0.25">
      <c r="A50" s="133" t="s">
        <v>497</v>
      </c>
      <c r="B50" s="133" t="s">
        <v>354</v>
      </c>
      <c r="C50" s="133" t="s">
        <v>159</v>
      </c>
      <c r="D50" s="134">
        <v>50</v>
      </c>
      <c r="E50" s="134">
        <v>34500</v>
      </c>
      <c r="F50" s="134">
        <v>1725000</v>
      </c>
      <c r="G50" s="134">
        <v>4960</v>
      </c>
      <c r="H50" s="134">
        <f t="shared" si="4"/>
        <v>248000</v>
      </c>
      <c r="I50" s="135" t="str">
        <f t="shared" si="5"/>
        <v>1477000 (85,6%)</v>
      </c>
      <c r="J50" s="133" t="s">
        <v>461</v>
      </c>
    </row>
    <row r="51" spans="1:10" x14ac:dyDescent="0.25">
      <c r="A51" s="130" t="s">
        <v>498</v>
      </c>
      <c r="B51" s="130" t="s">
        <v>355</v>
      </c>
      <c r="C51" s="130" t="s">
        <v>159</v>
      </c>
      <c r="D51" s="131">
        <v>50</v>
      </c>
      <c r="E51" s="131">
        <v>28750</v>
      </c>
      <c r="F51" s="131">
        <v>1437500</v>
      </c>
      <c r="G51" s="131">
        <v>4030</v>
      </c>
      <c r="H51" s="131">
        <f t="shared" si="4"/>
        <v>201500</v>
      </c>
      <c r="I51" s="132" t="str">
        <f t="shared" si="5"/>
        <v>1236000 (86,0%)</v>
      </c>
      <c r="J51" s="130" t="s">
        <v>461</v>
      </c>
    </row>
    <row r="52" spans="1:10" x14ac:dyDescent="0.25">
      <c r="A52" s="133" t="s">
        <v>499</v>
      </c>
      <c r="B52" s="133" t="s">
        <v>356</v>
      </c>
      <c r="C52" s="133" t="s">
        <v>159</v>
      </c>
      <c r="D52" s="134">
        <v>800</v>
      </c>
      <c r="E52" s="134">
        <v>575</v>
      </c>
      <c r="F52" s="134">
        <v>460000</v>
      </c>
      <c r="G52" s="134">
        <v>217</v>
      </c>
      <c r="H52" s="134">
        <f t="shared" si="4"/>
        <v>173600</v>
      </c>
      <c r="I52" s="135" t="str">
        <f t="shared" si="5"/>
        <v>286400 (62,3%)</v>
      </c>
      <c r="J52" s="133" t="s">
        <v>461</v>
      </c>
    </row>
    <row r="53" spans="1:10" x14ac:dyDescent="0.25">
      <c r="A53" s="130" t="s">
        <v>500</v>
      </c>
      <c r="B53" s="130" t="s">
        <v>357</v>
      </c>
      <c r="C53" s="130" t="s">
        <v>159</v>
      </c>
      <c r="D53" s="131">
        <v>200</v>
      </c>
      <c r="E53" s="131">
        <v>5750</v>
      </c>
      <c r="F53" s="131">
        <v>1150000</v>
      </c>
      <c r="G53" s="131">
        <v>744</v>
      </c>
      <c r="H53" s="131">
        <f t="shared" si="4"/>
        <v>148800</v>
      </c>
      <c r="I53" s="132" t="str">
        <f t="shared" si="5"/>
        <v>1001200 (87,1%)</v>
      </c>
      <c r="J53" s="130" t="s">
        <v>461</v>
      </c>
    </row>
    <row r="54" spans="1:10" x14ac:dyDescent="0.25">
      <c r="A54" s="133" t="s">
        <v>501</v>
      </c>
      <c r="B54" s="133" t="s">
        <v>358</v>
      </c>
      <c r="C54" s="133" t="s">
        <v>159</v>
      </c>
      <c r="D54" s="134">
        <v>25</v>
      </c>
      <c r="E54" s="134">
        <v>11500</v>
      </c>
      <c r="F54" s="134">
        <v>287500</v>
      </c>
      <c r="G54" s="134">
        <v>1178</v>
      </c>
      <c r="H54" s="134">
        <f t="shared" si="4"/>
        <v>29450</v>
      </c>
      <c r="I54" s="135" t="str">
        <f t="shared" si="5"/>
        <v>258050 (89,8%)</v>
      </c>
      <c r="J54" s="133" t="s">
        <v>461</v>
      </c>
    </row>
    <row r="55" spans="1:10" x14ac:dyDescent="0.25">
      <c r="A55" s="130" t="s">
        <v>502</v>
      </c>
      <c r="B55" s="130" t="s">
        <v>503</v>
      </c>
      <c r="C55" s="130" t="s">
        <v>159</v>
      </c>
      <c r="D55" s="131">
        <v>2</v>
      </c>
      <c r="E55" s="131">
        <v>57500</v>
      </c>
      <c r="F55" s="131">
        <v>115000</v>
      </c>
      <c r="G55" s="131">
        <v>4960</v>
      </c>
      <c r="H55" s="131">
        <f t="shared" si="4"/>
        <v>9920</v>
      </c>
      <c r="I55" s="132" t="str">
        <f t="shared" si="5"/>
        <v>105080 (91,4%)</v>
      </c>
      <c r="J55" s="130" t="s">
        <v>461</v>
      </c>
    </row>
    <row r="56" spans="1:10" x14ac:dyDescent="0.25">
      <c r="A56" s="133" t="s">
        <v>504</v>
      </c>
      <c r="B56" s="133" t="s">
        <v>505</v>
      </c>
      <c r="C56" s="133" t="s">
        <v>159</v>
      </c>
      <c r="D56" s="134">
        <v>3</v>
      </c>
      <c r="E56" s="134">
        <v>40250</v>
      </c>
      <c r="F56" s="134">
        <v>120750</v>
      </c>
      <c r="G56" s="134">
        <v>3100</v>
      </c>
      <c r="H56" s="134">
        <f t="shared" si="4"/>
        <v>9300</v>
      </c>
      <c r="I56" s="135" t="str">
        <f t="shared" si="5"/>
        <v>111450 (92,3%)</v>
      </c>
      <c r="J56" s="133" t="s">
        <v>461</v>
      </c>
    </row>
    <row r="57" spans="1:10" x14ac:dyDescent="0.25">
      <c r="A57" s="130" t="s">
        <v>506</v>
      </c>
      <c r="B57" s="130" t="s">
        <v>507</v>
      </c>
      <c r="C57" s="130" t="s">
        <v>159</v>
      </c>
      <c r="D57" s="131">
        <v>10</v>
      </c>
      <c r="E57" s="131">
        <v>34500</v>
      </c>
      <c r="F57" s="131">
        <v>345000</v>
      </c>
      <c r="G57" s="131">
        <v>2604</v>
      </c>
      <c r="H57" s="131">
        <f t="shared" si="4"/>
        <v>26040</v>
      </c>
      <c r="I57" s="132" t="str">
        <f t="shared" si="5"/>
        <v>318960 (92,5%)</v>
      </c>
      <c r="J57" s="130" t="s">
        <v>461</v>
      </c>
    </row>
    <row r="58" spans="1:10" x14ac:dyDescent="0.25">
      <c r="A58" s="133" t="s">
        <v>508</v>
      </c>
      <c r="B58" s="133" t="s">
        <v>509</v>
      </c>
      <c r="C58" s="133" t="s">
        <v>159</v>
      </c>
      <c r="D58" s="134">
        <v>10</v>
      </c>
      <c r="E58" s="134">
        <v>26450</v>
      </c>
      <c r="F58" s="134">
        <v>264500</v>
      </c>
      <c r="G58" s="134">
        <v>2356</v>
      </c>
      <c r="H58" s="134">
        <f t="shared" si="4"/>
        <v>23560</v>
      </c>
      <c r="I58" s="135" t="str">
        <f t="shared" si="5"/>
        <v>240940 (91,1%)</v>
      </c>
      <c r="J58" s="133" t="s">
        <v>461</v>
      </c>
    </row>
    <row r="59" spans="1:10" x14ac:dyDescent="0.25">
      <c r="A59" s="130" t="s">
        <v>510</v>
      </c>
      <c r="B59" s="130" t="s">
        <v>511</v>
      </c>
      <c r="C59" s="130" t="s">
        <v>159</v>
      </c>
      <c r="D59" s="131">
        <v>100</v>
      </c>
      <c r="E59" s="131">
        <v>26450</v>
      </c>
      <c r="F59" s="131">
        <v>2645000</v>
      </c>
      <c r="G59" s="131">
        <v>5084</v>
      </c>
      <c r="H59" s="131">
        <f t="shared" si="4"/>
        <v>508400</v>
      </c>
      <c r="I59" s="132" t="str">
        <f t="shared" si="5"/>
        <v>2136600 (80,8%)</v>
      </c>
      <c r="J59" s="130" t="s">
        <v>461</v>
      </c>
    </row>
    <row r="60" spans="1:10" x14ac:dyDescent="0.25">
      <c r="A60" s="133" t="s">
        <v>512</v>
      </c>
      <c r="B60" s="133" t="s">
        <v>166</v>
      </c>
      <c r="C60" s="133" t="s">
        <v>159</v>
      </c>
      <c r="D60" s="134">
        <v>18</v>
      </c>
      <c r="E60" s="134">
        <v>368000</v>
      </c>
      <c r="F60" s="134">
        <v>6624000</v>
      </c>
      <c r="G60" s="134">
        <v>19840</v>
      </c>
      <c r="H60" s="134">
        <f t="shared" si="4"/>
        <v>357120</v>
      </c>
      <c r="I60" s="135" t="str">
        <f t="shared" si="5"/>
        <v>6266880 (94,6%)</v>
      </c>
      <c r="J60" s="133" t="s">
        <v>461</v>
      </c>
    </row>
    <row r="61" spans="1:10" x14ac:dyDescent="0.25">
      <c r="A61" s="130" t="s">
        <v>513</v>
      </c>
      <c r="B61" s="130" t="s">
        <v>491</v>
      </c>
      <c r="C61" s="130" t="s">
        <v>159</v>
      </c>
      <c r="D61" s="131">
        <v>4</v>
      </c>
      <c r="E61" s="131">
        <v>207000</v>
      </c>
      <c r="F61" s="131">
        <v>828000</v>
      </c>
      <c r="G61" s="131">
        <v>4712</v>
      </c>
      <c r="H61" s="131">
        <f t="shared" si="4"/>
        <v>18848</v>
      </c>
      <c r="I61" s="132" t="str">
        <f t="shared" si="5"/>
        <v>809152 (97,7%)</v>
      </c>
      <c r="J61" s="130" t="s">
        <v>461</v>
      </c>
    </row>
    <row r="62" spans="1:10" x14ac:dyDescent="0.25">
      <c r="A62" s="133" t="s">
        <v>514</v>
      </c>
      <c r="B62" s="133" t="s">
        <v>515</v>
      </c>
      <c r="C62" s="133" t="s">
        <v>159</v>
      </c>
      <c r="D62" s="134">
        <v>2</v>
      </c>
      <c r="E62" s="134">
        <v>10350000</v>
      </c>
      <c r="F62" s="134">
        <v>20700000</v>
      </c>
      <c r="G62" s="134">
        <v>899000</v>
      </c>
      <c r="H62" s="134">
        <f t="shared" si="4"/>
        <v>1798000</v>
      </c>
      <c r="I62" s="135" t="str">
        <f t="shared" si="5"/>
        <v>18902000 (91,3%)</v>
      </c>
      <c r="J62" s="133" t="s">
        <v>461</v>
      </c>
    </row>
    <row r="63" spans="1:10" x14ac:dyDescent="0.25">
      <c r="A63" s="130" t="s">
        <v>516</v>
      </c>
      <c r="B63" s="130" t="s">
        <v>517</v>
      </c>
      <c r="C63" s="130" t="s">
        <v>52</v>
      </c>
      <c r="D63" s="131">
        <v>1</v>
      </c>
      <c r="E63" s="131">
        <v>1725000</v>
      </c>
      <c r="F63" s="131">
        <v>1725000</v>
      </c>
      <c r="G63" s="131">
        <v>27900</v>
      </c>
      <c r="H63" s="131">
        <f t="shared" si="4"/>
        <v>27900</v>
      </c>
      <c r="I63" s="132" t="str">
        <f t="shared" si="5"/>
        <v>1697100 (98,4%)</v>
      </c>
      <c r="J63" s="130" t="s">
        <v>461</v>
      </c>
    </row>
    <row r="64" spans="1:10" x14ac:dyDescent="0.25">
      <c r="A64" s="133" t="s">
        <v>518</v>
      </c>
      <c r="B64" s="133" t="s">
        <v>519</v>
      </c>
      <c r="C64" s="145" t="s">
        <v>52</v>
      </c>
      <c r="D64" s="146">
        <v>1</v>
      </c>
      <c r="E64" s="146">
        <v>989000</v>
      </c>
      <c r="F64" s="146">
        <v>989000</v>
      </c>
      <c r="G64" s="146">
        <v>24180</v>
      </c>
      <c r="H64" s="146">
        <f t="shared" si="4"/>
        <v>24180</v>
      </c>
      <c r="I64" s="147" t="str">
        <f t="shared" si="5"/>
        <v>964820 (97,6%)</v>
      </c>
      <c r="J64" s="145" t="s">
        <v>461</v>
      </c>
    </row>
    <row r="65" spans="1:10" x14ac:dyDescent="0.25">
      <c r="A65" s="148" t="s">
        <v>115</v>
      </c>
      <c r="B65" s="160" t="s">
        <v>520</v>
      </c>
      <c r="C65" s="149"/>
      <c r="D65" s="150"/>
      <c r="E65" s="150"/>
      <c r="F65" s="150">
        <f>SUM(F40:F64)</f>
        <v>84828000</v>
      </c>
      <c r="G65" s="150">
        <f>SUM(H54:H64)</f>
        <v>2832718</v>
      </c>
      <c r="H65" s="150">
        <f>SUM(H40:H64)</f>
        <v>15023778</v>
      </c>
      <c r="I65" s="150" t="str">
        <f>(F65-H65)&amp;" (" &amp; TEXT((F65-H65)/F65,"0.0%") &amp; ")"</f>
        <v>69804222 (8.2%)</v>
      </c>
      <c r="J65" s="158"/>
    </row>
    <row r="66" spans="1:10" x14ac:dyDescent="0.25">
      <c r="A66" s="133" t="s">
        <v>448</v>
      </c>
      <c r="B66" s="133" t="s">
        <v>362</v>
      </c>
      <c r="C66" s="151" t="s">
        <v>159</v>
      </c>
      <c r="D66" s="152">
        <v>1</v>
      </c>
      <c r="E66" s="152">
        <v>8050000</v>
      </c>
      <c r="F66" s="152">
        <v>8050000</v>
      </c>
      <c r="G66" s="152">
        <v>775000</v>
      </c>
      <c r="H66" s="152">
        <f>G66*D66</f>
        <v>775000</v>
      </c>
      <c r="I66" s="153" t="str">
        <f t="shared" ref="I66:I72" si="6">F66-H66 &amp; " (" &amp; TEXT((F66-H66)/F66, "0,0%") &amp; ")"</f>
        <v>7275000 (90,4%)</v>
      </c>
      <c r="J66" s="151" t="s">
        <v>461</v>
      </c>
    </row>
    <row r="67" spans="1:10" x14ac:dyDescent="0.25">
      <c r="A67" s="130" t="s">
        <v>450</v>
      </c>
      <c r="B67" s="130" t="s">
        <v>521</v>
      </c>
      <c r="C67" s="130" t="s">
        <v>159</v>
      </c>
      <c r="D67" s="131">
        <v>4</v>
      </c>
      <c r="E67" s="131">
        <v>2127500</v>
      </c>
      <c r="F67" s="131">
        <v>8510000</v>
      </c>
      <c r="G67" s="131">
        <v>260400</v>
      </c>
      <c r="H67" s="131">
        <f>G67*D67</f>
        <v>1041600</v>
      </c>
      <c r="I67" s="132" t="str">
        <f t="shared" si="6"/>
        <v>7468400 (87,8%)</v>
      </c>
      <c r="J67" s="130" t="s">
        <v>461</v>
      </c>
    </row>
    <row r="68" spans="1:10" x14ac:dyDescent="0.25">
      <c r="A68" s="133" t="s">
        <v>522</v>
      </c>
      <c r="B68" s="133" t="s">
        <v>363</v>
      </c>
      <c r="C68" s="133" t="s">
        <v>159</v>
      </c>
      <c r="D68" s="134">
        <v>1</v>
      </c>
      <c r="E68" s="134">
        <v>3542000</v>
      </c>
      <c r="F68" s="134">
        <v>3542000</v>
      </c>
      <c r="G68" s="134">
        <v>359600</v>
      </c>
      <c r="H68" s="134">
        <f>G68*D68</f>
        <v>359600</v>
      </c>
      <c r="I68" s="135" t="str">
        <f t="shared" si="6"/>
        <v>3182400 (89,8%)</v>
      </c>
      <c r="J68" s="133" t="s">
        <v>461</v>
      </c>
    </row>
    <row r="69" spans="1:10" x14ac:dyDescent="0.25">
      <c r="A69" s="130" t="s">
        <v>523</v>
      </c>
      <c r="B69" s="130" t="s">
        <v>364</v>
      </c>
      <c r="C69" s="136" t="s">
        <v>159</v>
      </c>
      <c r="D69" s="137">
        <v>1</v>
      </c>
      <c r="E69" s="137">
        <v>977500</v>
      </c>
      <c r="F69" s="137">
        <v>977500</v>
      </c>
      <c r="G69" s="137">
        <v>173600</v>
      </c>
      <c r="H69" s="137">
        <f>G69*D69</f>
        <v>173600</v>
      </c>
      <c r="I69" s="138" t="str">
        <f t="shared" si="6"/>
        <v>803900 (82,2%)</v>
      </c>
      <c r="J69" s="136" t="s">
        <v>461</v>
      </c>
    </row>
    <row r="70" spans="1:10" x14ac:dyDescent="0.25">
      <c r="A70" s="139" t="s">
        <v>524</v>
      </c>
      <c r="B70" s="159" t="s">
        <v>525</v>
      </c>
      <c r="C70" s="140"/>
      <c r="D70" s="141"/>
      <c r="E70" s="141"/>
      <c r="F70" s="141">
        <f>SUM(F66:F69)</f>
        <v>21079500</v>
      </c>
      <c r="G70" s="141">
        <f>SUM(H59:H69)</f>
        <v>20108026</v>
      </c>
      <c r="H70" s="141">
        <f>SUM(H66:H69)</f>
        <v>2349800</v>
      </c>
      <c r="I70" s="154" t="str">
        <f t="shared" si="6"/>
        <v>18729700 (88,9%)</v>
      </c>
      <c r="J70" s="157"/>
    </row>
    <row r="71" spans="1:10" x14ac:dyDescent="0.25">
      <c r="A71" s="130" t="s">
        <v>167</v>
      </c>
      <c r="B71" s="130" t="s">
        <v>359</v>
      </c>
      <c r="C71" s="142" t="s">
        <v>159</v>
      </c>
      <c r="D71" s="143">
        <v>2</v>
      </c>
      <c r="E71" s="143">
        <v>9028000</v>
      </c>
      <c r="F71" s="143">
        <f>D71*E71*1.189</f>
        <v>21468584</v>
      </c>
      <c r="G71" s="143">
        <v>7150000</v>
      </c>
      <c r="H71" s="143">
        <f>D71*G71</f>
        <v>14300000</v>
      </c>
      <c r="I71" s="144" t="str">
        <f t="shared" si="6"/>
        <v>7168584 (33,4%)</v>
      </c>
      <c r="J71" s="142" t="s">
        <v>360</v>
      </c>
    </row>
    <row r="72" spans="1:10" x14ac:dyDescent="0.25">
      <c r="A72" s="155" t="s">
        <v>361</v>
      </c>
      <c r="B72" s="139" t="s">
        <v>168</v>
      </c>
      <c r="C72" s="155"/>
      <c r="D72" s="156"/>
      <c r="E72" s="156"/>
      <c r="F72" s="156">
        <f>SUM(F71:F71)</f>
        <v>21468584</v>
      </c>
      <c r="G72" s="156"/>
      <c r="H72" s="156">
        <f>SUM(H71:H71)</f>
        <v>14300000</v>
      </c>
      <c r="I72" s="135" t="str">
        <f t="shared" si="6"/>
        <v>7168584 (33,4%)</v>
      </c>
      <c r="J72" s="155"/>
    </row>
    <row r="73" spans="1:10" x14ac:dyDescent="0.25">
      <c r="F73" s="16">
        <f>F72+F70+F65+F39+F27+F24</f>
        <v>160975634</v>
      </c>
    </row>
    <row r="75" spans="1:10" ht="18.75" x14ac:dyDescent="0.3">
      <c r="B75" s="161" t="s">
        <v>528</v>
      </c>
      <c r="F75" s="162">
        <f>H72+H70+H65+H39+H27+H24</f>
        <v>37280608</v>
      </c>
    </row>
  </sheetData>
  <pageMargins left="0.3" right="0.3" top="0.5" bottom="0.5" header="0.5" footer="0.5"/>
  <pageSetup paperSize="9" scale="53" fitToHeight="0" orientation="landscape" horizontalDpi="4294967292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7F37-33FD-45F7-B00D-7162C9EA023C}">
  <sheetPr>
    <pageSetUpPr fitToPage="1"/>
  </sheetPr>
  <dimension ref="A1:L24"/>
  <sheetViews>
    <sheetView workbookViewId="0"/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style="26" customWidth="1"/>
    <col min="4" max="4" width="12" style="26" customWidth="1"/>
    <col min="5" max="6" width="18" style="26" customWidth="1"/>
    <col min="7" max="7" width="16.85546875" style="26" customWidth="1"/>
    <col min="8" max="9" width="24.28515625" style="26" customWidth="1"/>
    <col min="12" max="12" width="55.7109375" customWidth="1"/>
  </cols>
  <sheetData>
    <row r="1" spans="1:12" ht="17.25" customHeight="1" x14ac:dyDescent="0.3">
      <c r="A1" s="8" t="s">
        <v>175</v>
      </c>
      <c r="I1" s="26" t="s">
        <v>48</v>
      </c>
    </row>
    <row r="2" spans="1:12" ht="17.25" customHeight="1" x14ac:dyDescent="0.3">
      <c r="A2" s="8"/>
    </row>
    <row r="3" spans="1:12" ht="17.25" customHeight="1" x14ac:dyDescent="0.3">
      <c r="A3" s="8"/>
    </row>
    <row r="4" spans="1:12" ht="17.25" customHeight="1" x14ac:dyDescent="0.3">
      <c r="A4" s="8"/>
    </row>
    <row r="5" spans="1:12" ht="17.25" customHeight="1" x14ac:dyDescent="0.3">
      <c r="A5" s="8"/>
    </row>
    <row r="6" spans="1:12" ht="17.25" customHeight="1" x14ac:dyDescent="0.3">
      <c r="A6" s="8"/>
    </row>
    <row r="7" spans="1:12" ht="17.25" customHeight="1" x14ac:dyDescent="0.3">
      <c r="A7" s="8"/>
    </row>
    <row r="9" spans="1:12" x14ac:dyDescent="0.25">
      <c r="A9" s="163" t="s">
        <v>38</v>
      </c>
      <c r="B9" s="163" t="s">
        <v>39</v>
      </c>
      <c r="C9" s="163" t="s">
        <v>40</v>
      </c>
      <c r="D9" s="164" t="s">
        <v>251</v>
      </c>
      <c r="E9" s="164" t="s">
        <v>252</v>
      </c>
      <c r="F9" s="164" t="s">
        <v>253</v>
      </c>
      <c r="G9" s="164" t="s">
        <v>254</v>
      </c>
      <c r="H9" s="164" t="s">
        <v>255</v>
      </c>
      <c r="I9" s="164" t="s">
        <v>383</v>
      </c>
      <c r="J9" s="163" t="s">
        <v>526</v>
      </c>
      <c r="K9" s="163" t="s">
        <v>529</v>
      </c>
      <c r="L9" s="163" t="s">
        <v>530</v>
      </c>
    </row>
    <row r="10" spans="1:12" x14ac:dyDescent="0.25">
      <c r="A10" s="165">
        <v>2</v>
      </c>
      <c r="B10" s="165" t="s">
        <v>373</v>
      </c>
      <c r="C10" s="165" t="s">
        <v>159</v>
      </c>
      <c r="D10" s="166">
        <v>5</v>
      </c>
      <c r="E10" s="166">
        <v>569380</v>
      </c>
      <c r="F10" s="166">
        <v>2846900</v>
      </c>
      <c r="G10" s="166">
        <v>85000</v>
      </c>
      <c r="H10" s="166">
        <v>425000</v>
      </c>
      <c r="I10" s="144" t="str">
        <f>F10-H10 &amp; " (" &amp; TEXT((F10-H10)/F10, "0,0%") &amp; ")"</f>
        <v>2421900 (85,1%)</v>
      </c>
      <c r="J10" s="165" t="s">
        <v>531</v>
      </c>
      <c r="K10" s="165"/>
      <c r="L10" s="165" t="s">
        <v>532</v>
      </c>
    </row>
    <row r="11" spans="1:12" x14ac:dyDescent="0.25">
      <c r="A11" s="167">
        <v>3</v>
      </c>
      <c r="B11" s="167" t="s">
        <v>374</v>
      </c>
      <c r="C11" s="167" t="s">
        <v>159</v>
      </c>
      <c r="D11" s="168">
        <v>7</v>
      </c>
      <c r="E11" s="168">
        <v>943530</v>
      </c>
      <c r="F11" s="168">
        <v>6604710</v>
      </c>
      <c r="G11" s="168">
        <v>180000</v>
      </c>
      <c r="H11" s="168">
        <v>1260000</v>
      </c>
      <c r="I11" s="144" t="str">
        <f t="shared" ref="I11:I13" si="0">F11-H11 &amp; " (" &amp; TEXT((F11-H11)/F11, "0,0%") &amp; ")"</f>
        <v>5344710 (80,9%)</v>
      </c>
      <c r="J11" s="167" t="s">
        <v>533</v>
      </c>
      <c r="K11" s="167"/>
      <c r="L11" s="167" t="s">
        <v>534</v>
      </c>
    </row>
    <row r="12" spans="1:12" x14ac:dyDescent="0.25">
      <c r="A12" s="165">
        <v>4</v>
      </c>
      <c r="B12" s="165" t="s">
        <v>375</v>
      </c>
      <c r="C12" s="165" t="s">
        <v>159</v>
      </c>
      <c r="D12" s="166">
        <v>6</v>
      </c>
      <c r="E12" s="166">
        <v>1186400</v>
      </c>
      <c r="F12" s="166">
        <v>7118400</v>
      </c>
      <c r="G12" s="166">
        <v>255000</v>
      </c>
      <c r="H12" s="166">
        <v>1530000</v>
      </c>
      <c r="I12" s="144" t="str">
        <f t="shared" si="0"/>
        <v>5588400 (78,5%)</v>
      </c>
      <c r="J12" s="165" t="s">
        <v>535</v>
      </c>
      <c r="K12" s="165"/>
      <c r="L12" s="165" t="s">
        <v>536</v>
      </c>
    </row>
    <row r="13" spans="1:12" x14ac:dyDescent="0.25">
      <c r="A13" s="167">
        <v>6</v>
      </c>
      <c r="B13" s="167" t="s">
        <v>376</v>
      </c>
      <c r="C13" s="167" t="s">
        <v>159</v>
      </c>
      <c r="D13" s="168">
        <v>1</v>
      </c>
      <c r="E13" s="168">
        <v>129500</v>
      </c>
      <c r="F13" s="168">
        <v>129500</v>
      </c>
      <c r="G13" s="168">
        <v>30000</v>
      </c>
      <c r="H13" s="168">
        <v>30000</v>
      </c>
      <c r="I13" s="144" t="str">
        <f t="shared" si="0"/>
        <v>99500 (76,8%)</v>
      </c>
      <c r="J13" s="167" t="s">
        <v>537</v>
      </c>
      <c r="K13" s="167"/>
      <c r="L13" s="167" t="s">
        <v>538</v>
      </c>
    </row>
    <row r="14" spans="1:12" x14ac:dyDescent="0.25">
      <c r="A14" s="165">
        <v>7</v>
      </c>
      <c r="B14" s="165" t="s">
        <v>377</v>
      </c>
      <c r="C14" s="165" t="s">
        <v>52</v>
      </c>
      <c r="D14" s="166">
        <v>1</v>
      </c>
      <c r="E14" s="166">
        <v>0</v>
      </c>
      <c r="F14" s="166">
        <v>0</v>
      </c>
      <c r="G14" s="166">
        <v>13000</v>
      </c>
      <c r="H14" s="166">
        <v>13000</v>
      </c>
      <c r="I14" s="166">
        <v>0</v>
      </c>
      <c r="J14" s="165" t="s">
        <v>539</v>
      </c>
      <c r="K14" s="165"/>
      <c r="L14" s="165" t="s">
        <v>540</v>
      </c>
    </row>
    <row r="15" spans="1:12" x14ac:dyDescent="0.25">
      <c r="A15" s="167">
        <v>8</v>
      </c>
      <c r="B15" s="167" t="s">
        <v>378</v>
      </c>
      <c r="C15" s="167" t="s">
        <v>52</v>
      </c>
      <c r="D15" s="168">
        <v>1</v>
      </c>
      <c r="E15" s="168">
        <v>0</v>
      </c>
      <c r="F15" s="168">
        <v>0</v>
      </c>
      <c r="G15" s="168">
        <v>12500</v>
      </c>
      <c r="H15" s="168">
        <v>12500</v>
      </c>
      <c r="I15" s="168">
        <v>0</v>
      </c>
      <c r="J15" s="167" t="s">
        <v>541</v>
      </c>
      <c r="K15" s="167"/>
      <c r="L15" s="167" t="s">
        <v>542</v>
      </c>
    </row>
    <row r="16" spans="1:12" x14ac:dyDescent="0.25">
      <c r="C16"/>
    </row>
    <row r="17" spans="2:6" ht="18.75" x14ac:dyDescent="0.3">
      <c r="B17" s="90" t="s">
        <v>543</v>
      </c>
      <c r="F17" s="34">
        <f>SUM(H10:H15)</f>
        <v>3270500</v>
      </c>
    </row>
    <row r="20" spans="2:6" x14ac:dyDescent="0.25">
      <c r="B20" t="s">
        <v>117</v>
      </c>
    </row>
    <row r="21" spans="2:6" x14ac:dyDescent="0.25">
      <c r="B21" t="s">
        <v>118</v>
      </c>
    </row>
    <row r="22" spans="2:6" x14ac:dyDescent="0.25">
      <c r="B22" t="s">
        <v>119</v>
      </c>
    </row>
    <row r="24" spans="2:6" x14ac:dyDescent="0.25">
      <c r="B24" t="s">
        <v>120</v>
      </c>
    </row>
  </sheetData>
  <pageMargins left="0.3" right="0.3" top="0.5" bottom="0.5" header="0.5" footer="0.5"/>
  <pageSetup paperSize="9" scale="46" fitToHeight="0" orientation="landscape" horizontalDpi="4294967292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5"/>
  <sheetViews>
    <sheetView workbookViewId="0">
      <selection sqref="A1:E1"/>
    </sheetView>
  </sheetViews>
  <sheetFormatPr baseColWidth="10" defaultColWidth="9.140625" defaultRowHeight="15" x14ac:dyDescent="0.25"/>
  <cols>
    <col min="1" max="1" width="9.7109375" customWidth="1"/>
    <col min="2" max="2" width="49.42578125" customWidth="1"/>
    <col min="5" max="5" width="18" customWidth="1"/>
    <col min="6" max="6" width="26.28515625" customWidth="1"/>
  </cols>
  <sheetData>
    <row r="1" spans="1:6" x14ac:dyDescent="0.25">
      <c r="A1" s="177" t="s">
        <v>176</v>
      </c>
      <c r="B1" s="173"/>
      <c r="C1" s="173"/>
      <c r="D1" s="173"/>
      <c r="E1" s="173"/>
    </row>
    <row r="11" spans="1:6" x14ac:dyDescent="0.25">
      <c r="A11" s="9" t="s">
        <v>38</v>
      </c>
      <c r="B11" s="9" t="s">
        <v>39</v>
      </c>
      <c r="C11" s="9" t="s">
        <v>40</v>
      </c>
      <c r="D11" s="9" t="s">
        <v>41</v>
      </c>
      <c r="E11" s="9" t="s">
        <v>121</v>
      </c>
      <c r="F11" s="9" t="s">
        <v>10</v>
      </c>
    </row>
    <row r="12" spans="1:6" x14ac:dyDescent="0.25">
      <c r="A12" s="11">
        <v>1</v>
      </c>
      <c r="B12" s="11" t="s">
        <v>177</v>
      </c>
      <c r="C12" s="11" t="s">
        <v>159</v>
      </c>
      <c r="D12" s="11">
        <v>27</v>
      </c>
      <c r="E12" s="57">
        <v>1310</v>
      </c>
      <c r="F12" s="57">
        <f>D12*E12</f>
        <v>35370</v>
      </c>
    </row>
    <row r="13" spans="1:6" x14ac:dyDescent="0.25">
      <c r="A13" s="11">
        <v>2</v>
      </c>
      <c r="B13" s="11" t="s">
        <v>178</v>
      </c>
      <c r="C13" s="11" t="s">
        <v>140</v>
      </c>
      <c r="D13" s="11">
        <v>400</v>
      </c>
      <c r="E13" s="57">
        <v>4.63</v>
      </c>
      <c r="F13" s="57">
        <f>D13*E13</f>
        <v>1852</v>
      </c>
    </row>
    <row r="16" spans="1:6" ht="21" customHeight="1" x14ac:dyDescent="0.35">
      <c r="B16" s="41" t="s">
        <v>179</v>
      </c>
      <c r="F16" s="58">
        <f>SUM(F12:F13)</f>
        <v>37222</v>
      </c>
    </row>
    <row r="21" spans="2:2" x14ac:dyDescent="0.25">
      <c r="B21" t="s">
        <v>117</v>
      </c>
    </row>
    <row r="22" spans="2:2" x14ac:dyDescent="0.25">
      <c r="B22" t="s">
        <v>118</v>
      </c>
    </row>
    <row r="23" spans="2:2" x14ac:dyDescent="0.25">
      <c r="B23" t="s">
        <v>119</v>
      </c>
    </row>
    <row r="25" spans="2:2" x14ac:dyDescent="0.25">
      <c r="B25" t="s">
        <v>120</v>
      </c>
    </row>
  </sheetData>
  <mergeCells count="1">
    <mergeCell ref="A1:E1"/>
  </mergeCells>
  <pageMargins left="0.3" right="0.3" top="0.5" bottom="0.5" header="0.5" footer="0.5"/>
  <pageSetup paperSize="9" fitToHeight="0" orientation="landscape" horizontalDpi="4294967292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69"/>
  <sheetViews>
    <sheetView workbookViewId="0">
      <selection activeCell="B12" sqref="B12"/>
    </sheetView>
  </sheetViews>
  <sheetFormatPr baseColWidth="10" defaultColWidth="9.140625" defaultRowHeight="15" x14ac:dyDescent="0.25"/>
  <cols>
    <col min="2" max="2" width="34" customWidth="1"/>
    <col min="3" max="3" width="9.140625" style="26"/>
    <col min="4" max="4" width="13" style="26" customWidth="1"/>
    <col min="5" max="5" width="20.5703125" style="26" customWidth="1"/>
    <col min="6" max="6" width="21.42578125" style="26" customWidth="1"/>
    <col min="7" max="7" width="49.42578125" style="26" customWidth="1"/>
    <col min="8" max="8" width="27.140625" style="26" customWidth="1"/>
    <col min="9" max="9" width="21.140625" style="26" customWidth="1"/>
  </cols>
  <sheetData>
    <row r="1" spans="1:9" ht="15.75" customHeight="1" x14ac:dyDescent="0.25">
      <c r="A1" s="179" t="s">
        <v>180</v>
      </c>
      <c r="B1" s="173"/>
      <c r="C1" s="173"/>
      <c r="D1" s="173"/>
      <c r="E1" s="173"/>
      <c r="F1" s="173"/>
    </row>
    <row r="2" spans="1:9" ht="15.75" customHeight="1" x14ac:dyDescent="0.25">
      <c r="A2" s="48"/>
      <c r="B2" s="48"/>
      <c r="C2" s="120"/>
      <c r="D2" s="120"/>
      <c r="E2" s="120"/>
      <c r="F2" s="120"/>
    </row>
    <row r="3" spans="1:9" ht="15.75" customHeight="1" x14ac:dyDescent="0.25">
      <c r="A3" s="48"/>
      <c r="B3" s="48"/>
      <c r="C3" s="120"/>
      <c r="D3" s="120"/>
      <c r="E3" s="120"/>
      <c r="F3" s="120"/>
    </row>
    <row r="4" spans="1:9" ht="15.75" customHeight="1" x14ac:dyDescent="0.25">
      <c r="A4" s="48"/>
      <c r="B4" s="48"/>
      <c r="C4" s="120"/>
      <c r="D4" s="120"/>
      <c r="E4" s="120"/>
      <c r="F4" s="120"/>
    </row>
    <row r="5" spans="1:9" ht="15.75" customHeight="1" x14ac:dyDescent="0.25">
      <c r="A5" s="48"/>
      <c r="B5" s="48"/>
      <c r="C5" s="120"/>
      <c r="D5" s="120"/>
      <c r="E5" s="120"/>
      <c r="F5" s="120"/>
    </row>
    <row r="6" spans="1:9" ht="15.75" customHeight="1" x14ac:dyDescent="0.25">
      <c r="A6" s="48"/>
      <c r="B6" s="48"/>
      <c r="C6" s="120"/>
      <c r="D6" s="120"/>
      <c r="E6" s="120"/>
      <c r="F6" s="120"/>
    </row>
    <row r="7" spans="1:9" ht="15.75" customHeight="1" x14ac:dyDescent="0.25">
      <c r="A7" s="48"/>
      <c r="B7" s="48"/>
      <c r="C7" s="120"/>
      <c r="D7" s="120"/>
      <c r="E7" s="120"/>
      <c r="F7" s="120"/>
    </row>
    <row r="10" spans="1:9" x14ac:dyDescent="0.25">
      <c r="A10" s="51" t="s">
        <v>181</v>
      </c>
      <c r="B10" s="180" t="s">
        <v>182</v>
      </c>
      <c r="C10" s="173"/>
      <c r="D10" s="173"/>
      <c r="E10" s="173"/>
      <c r="F10" s="173"/>
      <c r="G10" s="95"/>
      <c r="H10" s="95"/>
    </row>
    <row r="11" spans="1:9" ht="18.75" x14ac:dyDescent="0.3">
      <c r="A11" s="78" t="s">
        <v>38</v>
      </c>
      <c r="B11" s="78" t="s">
        <v>39</v>
      </c>
      <c r="C11" s="29" t="s">
        <v>251</v>
      </c>
      <c r="D11" s="29" t="s">
        <v>252</v>
      </c>
      <c r="E11" s="29" t="s">
        <v>253</v>
      </c>
      <c r="F11" s="29" t="s">
        <v>254</v>
      </c>
      <c r="G11" s="29" t="s">
        <v>255</v>
      </c>
      <c r="H11" s="87" t="s">
        <v>372</v>
      </c>
      <c r="I11" s="34"/>
    </row>
    <row r="12" spans="1:9" x14ac:dyDescent="0.25">
      <c r="A12" s="11" t="s">
        <v>398</v>
      </c>
      <c r="B12" s="11" t="s">
        <v>183</v>
      </c>
      <c r="C12" s="27">
        <v>34</v>
      </c>
      <c r="D12" s="27">
        <v>264500</v>
      </c>
      <c r="E12" s="27">
        <f t="shared" ref="E12:E29" si="0">C12*D12</f>
        <v>8993000</v>
      </c>
      <c r="F12" s="27">
        <v>95000</v>
      </c>
      <c r="G12" s="27">
        <f t="shared" ref="G12:G29" si="1">C12*F12</f>
        <v>3230000</v>
      </c>
      <c r="H12" s="86" t="str">
        <f t="shared" ref="H12:H30" si="2">E12-G12 &amp; " (" &amp; TEXT((E12-G12)/E12,"0%") &amp; ")"</f>
        <v>5763000 (64%)</v>
      </c>
    </row>
    <row r="13" spans="1:9" x14ac:dyDescent="0.25">
      <c r="A13" s="11" t="s">
        <v>399</v>
      </c>
      <c r="B13" s="11" t="s">
        <v>400</v>
      </c>
      <c r="C13" s="27">
        <v>12</v>
      </c>
      <c r="D13" s="27">
        <v>517500</v>
      </c>
      <c r="E13" s="27">
        <f t="shared" si="0"/>
        <v>6210000</v>
      </c>
      <c r="F13" s="27">
        <v>110000</v>
      </c>
      <c r="G13" s="27">
        <f t="shared" si="1"/>
        <v>1320000</v>
      </c>
      <c r="H13" s="86" t="str">
        <f t="shared" si="2"/>
        <v>4890000 (79%)</v>
      </c>
    </row>
    <row r="14" spans="1:9" x14ac:dyDescent="0.25">
      <c r="A14" s="11" t="s">
        <v>401</v>
      </c>
      <c r="B14" s="11" t="s">
        <v>402</v>
      </c>
      <c r="C14" s="27">
        <v>32</v>
      </c>
      <c r="D14" s="27">
        <v>126500</v>
      </c>
      <c r="E14" s="27">
        <f t="shared" si="0"/>
        <v>4048000</v>
      </c>
      <c r="F14" s="27">
        <v>45000</v>
      </c>
      <c r="G14" s="27">
        <f t="shared" si="1"/>
        <v>1440000</v>
      </c>
      <c r="H14" s="86" t="str">
        <f t="shared" si="2"/>
        <v>2608000 (64%)</v>
      </c>
    </row>
    <row r="15" spans="1:9" x14ac:dyDescent="0.25">
      <c r="A15" s="11" t="s">
        <v>403</v>
      </c>
      <c r="B15" s="11" t="s">
        <v>404</v>
      </c>
      <c r="C15" s="27">
        <v>6</v>
      </c>
      <c r="D15" s="27">
        <v>74750</v>
      </c>
      <c r="E15" s="27">
        <f t="shared" si="0"/>
        <v>448500</v>
      </c>
      <c r="F15" s="27">
        <v>48000</v>
      </c>
      <c r="G15" s="27">
        <f t="shared" si="1"/>
        <v>288000</v>
      </c>
      <c r="H15" s="86" t="str">
        <f t="shared" si="2"/>
        <v>160500 (36%)</v>
      </c>
    </row>
    <row r="16" spans="1:9" x14ac:dyDescent="0.25">
      <c r="A16" s="11" t="s">
        <v>405</v>
      </c>
      <c r="B16" s="11" t="s">
        <v>406</v>
      </c>
      <c r="C16" s="27">
        <v>2</v>
      </c>
      <c r="D16" s="27">
        <v>109250</v>
      </c>
      <c r="E16" s="27">
        <f t="shared" si="0"/>
        <v>218500</v>
      </c>
      <c r="F16" s="27">
        <v>95000</v>
      </c>
      <c r="G16" s="27">
        <f t="shared" si="1"/>
        <v>190000</v>
      </c>
      <c r="H16" s="86" t="str">
        <f t="shared" si="2"/>
        <v>28500 (13%)</v>
      </c>
    </row>
    <row r="17" spans="1:8" x14ac:dyDescent="0.25">
      <c r="A17" s="11" t="s">
        <v>407</v>
      </c>
      <c r="B17" s="11" t="s">
        <v>408</v>
      </c>
      <c r="C17" s="27">
        <v>1</v>
      </c>
      <c r="D17" s="27">
        <v>517500</v>
      </c>
      <c r="E17" s="27">
        <f t="shared" si="0"/>
        <v>517500</v>
      </c>
      <c r="F17" s="27">
        <v>185000</v>
      </c>
      <c r="G17" s="27">
        <f>C17*F17</f>
        <v>185000</v>
      </c>
      <c r="H17" s="86" t="str">
        <f t="shared" si="2"/>
        <v>332500 (64%)</v>
      </c>
    </row>
    <row r="18" spans="1:8" x14ac:dyDescent="0.25">
      <c r="A18" s="11" t="s">
        <v>409</v>
      </c>
      <c r="B18" s="11" t="s">
        <v>410</v>
      </c>
      <c r="C18" s="27">
        <v>20</v>
      </c>
      <c r="D18" s="27">
        <v>5750</v>
      </c>
      <c r="E18" s="27">
        <f t="shared" si="0"/>
        <v>115000</v>
      </c>
      <c r="F18" s="27">
        <v>3800</v>
      </c>
      <c r="G18" s="27">
        <f t="shared" si="1"/>
        <v>76000</v>
      </c>
      <c r="H18" s="86" t="str">
        <f t="shared" si="2"/>
        <v>39000 (34%)</v>
      </c>
    </row>
    <row r="19" spans="1:8" x14ac:dyDescent="0.25">
      <c r="A19" s="11" t="s">
        <v>411</v>
      </c>
      <c r="B19" s="11" t="s">
        <v>412</v>
      </c>
      <c r="C19" s="27">
        <v>10</v>
      </c>
      <c r="D19" s="27">
        <v>5750</v>
      </c>
      <c r="E19" s="27">
        <f t="shared" si="0"/>
        <v>57500</v>
      </c>
      <c r="F19" s="27">
        <v>3200</v>
      </c>
      <c r="G19" s="27">
        <f t="shared" si="1"/>
        <v>32000</v>
      </c>
      <c r="H19" s="86" t="str">
        <f t="shared" si="2"/>
        <v>25500 (44%)</v>
      </c>
    </row>
    <row r="20" spans="1:8" x14ac:dyDescent="0.25">
      <c r="A20" s="11" t="s">
        <v>413</v>
      </c>
      <c r="B20" s="11" t="s">
        <v>184</v>
      </c>
      <c r="C20" s="27">
        <v>1</v>
      </c>
      <c r="D20" s="27">
        <v>3450</v>
      </c>
      <c r="E20" s="27">
        <f t="shared" si="0"/>
        <v>3450</v>
      </c>
      <c r="F20" s="27">
        <v>2000</v>
      </c>
      <c r="G20" s="27">
        <f t="shared" si="1"/>
        <v>2000</v>
      </c>
      <c r="H20" s="86" t="str">
        <f t="shared" si="2"/>
        <v>1450 (42%)</v>
      </c>
    </row>
    <row r="21" spans="1:8" x14ac:dyDescent="0.25">
      <c r="A21" s="11" t="s">
        <v>414</v>
      </c>
      <c r="B21" s="11" t="s">
        <v>415</v>
      </c>
      <c r="C21" s="27">
        <v>10</v>
      </c>
      <c r="D21" s="27">
        <v>5750</v>
      </c>
      <c r="E21" s="27">
        <f t="shared" si="0"/>
        <v>57500</v>
      </c>
      <c r="F21" s="27">
        <v>3500</v>
      </c>
      <c r="G21" s="27">
        <f t="shared" si="1"/>
        <v>35000</v>
      </c>
      <c r="H21" s="86" t="str">
        <f t="shared" si="2"/>
        <v>22500 (39%)</v>
      </c>
    </row>
    <row r="22" spans="1:8" x14ac:dyDescent="0.25">
      <c r="A22" s="11" t="s">
        <v>416</v>
      </c>
      <c r="B22" s="11" t="s">
        <v>417</v>
      </c>
      <c r="C22" s="27">
        <v>30</v>
      </c>
      <c r="D22" s="27">
        <v>5750</v>
      </c>
      <c r="E22" s="27">
        <f t="shared" si="0"/>
        <v>172500</v>
      </c>
      <c r="F22" s="27">
        <v>3800</v>
      </c>
      <c r="G22" s="27">
        <f t="shared" si="1"/>
        <v>114000</v>
      </c>
      <c r="H22" s="86" t="str">
        <f t="shared" si="2"/>
        <v>58500 (34%)</v>
      </c>
    </row>
    <row r="23" spans="1:8" x14ac:dyDescent="0.25">
      <c r="A23" s="11" t="s">
        <v>418</v>
      </c>
      <c r="B23" s="11" t="s">
        <v>419</v>
      </c>
      <c r="C23" s="27">
        <v>2</v>
      </c>
      <c r="D23" s="27">
        <v>103500</v>
      </c>
      <c r="E23" s="27">
        <f t="shared" si="0"/>
        <v>207000</v>
      </c>
      <c r="F23" s="27">
        <v>62000</v>
      </c>
      <c r="G23" s="27">
        <f t="shared" si="1"/>
        <v>124000</v>
      </c>
      <c r="H23" s="86" t="str">
        <f t="shared" si="2"/>
        <v>83000 (40%)</v>
      </c>
    </row>
    <row r="24" spans="1:8" x14ac:dyDescent="0.25">
      <c r="A24" s="11" t="s">
        <v>420</v>
      </c>
      <c r="B24" s="11" t="s">
        <v>421</v>
      </c>
      <c r="C24" s="27">
        <v>6</v>
      </c>
      <c r="D24" s="27">
        <v>28750</v>
      </c>
      <c r="E24" s="27">
        <f t="shared" si="0"/>
        <v>172500</v>
      </c>
      <c r="F24" s="27">
        <v>18000</v>
      </c>
      <c r="G24" s="27">
        <f t="shared" si="1"/>
        <v>108000</v>
      </c>
      <c r="H24" s="86" t="str">
        <f t="shared" si="2"/>
        <v>64500 (37%)</v>
      </c>
    </row>
    <row r="25" spans="1:8" x14ac:dyDescent="0.25">
      <c r="A25" s="11" t="s">
        <v>422</v>
      </c>
      <c r="B25" s="11" t="s">
        <v>423</v>
      </c>
      <c r="C25" s="27">
        <v>1</v>
      </c>
      <c r="D25" s="27">
        <v>201250</v>
      </c>
      <c r="E25" s="27">
        <f t="shared" si="0"/>
        <v>201250</v>
      </c>
      <c r="F25" s="27">
        <v>110000</v>
      </c>
      <c r="G25" s="27">
        <f t="shared" si="1"/>
        <v>110000</v>
      </c>
      <c r="H25" s="86" t="str">
        <f t="shared" si="2"/>
        <v>91250 (45%)</v>
      </c>
    </row>
    <row r="26" spans="1:8" x14ac:dyDescent="0.25">
      <c r="A26" s="11" t="s">
        <v>424</v>
      </c>
      <c r="B26" s="11" t="s">
        <v>425</v>
      </c>
      <c r="C26" s="27">
        <v>1</v>
      </c>
      <c r="D26" s="27">
        <v>247250</v>
      </c>
      <c r="E26" s="27">
        <f t="shared" si="0"/>
        <v>247250</v>
      </c>
      <c r="F26" s="27">
        <v>135000</v>
      </c>
      <c r="G26" s="27">
        <f t="shared" si="1"/>
        <v>135000</v>
      </c>
      <c r="H26" s="86" t="str">
        <f t="shared" si="2"/>
        <v>112250 (45%)</v>
      </c>
    </row>
    <row r="27" spans="1:8" x14ac:dyDescent="0.25">
      <c r="A27" s="11" t="s">
        <v>426</v>
      </c>
      <c r="B27" s="11" t="s">
        <v>427</v>
      </c>
      <c r="C27" s="27">
        <v>1</v>
      </c>
      <c r="D27" s="27">
        <v>316250</v>
      </c>
      <c r="E27" s="27">
        <f t="shared" si="0"/>
        <v>316250</v>
      </c>
      <c r="F27" s="27">
        <v>175000</v>
      </c>
      <c r="G27" s="27">
        <f t="shared" si="1"/>
        <v>175000</v>
      </c>
      <c r="H27" s="86" t="str">
        <f t="shared" si="2"/>
        <v>141250 (45%)</v>
      </c>
    </row>
    <row r="28" spans="1:8" x14ac:dyDescent="0.25">
      <c r="A28" s="11" t="s">
        <v>428</v>
      </c>
      <c r="B28" s="11" t="s">
        <v>429</v>
      </c>
      <c r="C28" s="27">
        <v>1</v>
      </c>
      <c r="D28" s="27">
        <v>230000</v>
      </c>
      <c r="E28" s="27">
        <f t="shared" si="0"/>
        <v>230000</v>
      </c>
      <c r="F28" s="27">
        <v>95000</v>
      </c>
      <c r="G28" s="27">
        <f t="shared" si="1"/>
        <v>95000</v>
      </c>
      <c r="H28" s="86" t="str">
        <f t="shared" si="2"/>
        <v>135000 (59%)</v>
      </c>
    </row>
    <row r="29" spans="1:8" x14ac:dyDescent="0.25">
      <c r="A29" s="11" t="s">
        <v>430</v>
      </c>
      <c r="B29" s="11" t="s">
        <v>431</v>
      </c>
      <c r="C29" s="27">
        <v>1</v>
      </c>
      <c r="D29" s="27">
        <v>345000</v>
      </c>
      <c r="E29" s="27">
        <f t="shared" si="0"/>
        <v>345000</v>
      </c>
      <c r="F29" s="27">
        <v>120000</v>
      </c>
      <c r="G29" s="27">
        <f t="shared" si="1"/>
        <v>120000</v>
      </c>
      <c r="H29" s="86" t="str">
        <f t="shared" si="2"/>
        <v>225000 (65%)</v>
      </c>
    </row>
    <row r="30" spans="1:8" x14ac:dyDescent="0.25">
      <c r="A30" s="11"/>
      <c r="B30" s="18" t="s">
        <v>64</v>
      </c>
      <c r="C30" s="27"/>
      <c r="D30" s="27"/>
      <c r="E30" s="96">
        <f>SUM(G30)</f>
        <v>7779000</v>
      </c>
      <c r="F30" s="27"/>
      <c r="G30" s="96">
        <f>SUM(G12:G29)</f>
        <v>7779000</v>
      </c>
      <c r="H30" s="86" t="str">
        <f t="shared" si="2"/>
        <v>0 (0%)</v>
      </c>
    </row>
    <row r="32" spans="1:8" x14ac:dyDescent="0.25">
      <c r="A32" s="52" t="s">
        <v>185</v>
      </c>
      <c r="B32" s="52" t="s">
        <v>186</v>
      </c>
      <c r="C32" s="89"/>
      <c r="D32" s="89"/>
      <c r="E32" s="89"/>
      <c r="F32" s="89"/>
      <c r="G32" s="89"/>
      <c r="H32" s="89"/>
    </row>
    <row r="33" spans="1:8" x14ac:dyDescent="0.25">
      <c r="A33" s="11" t="s">
        <v>432</v>
      </c>
      <c r="B33" s="11" t="s">
        <v>433</v>
      </c>
      <c r="C33" s="27">
        <v>10</v>
      </c>
      <c r="D33" s="27">
        <v>17250</v>
      </c>
      <c r="E33" s="27">
        <f>D33*C33</f>
        <v>172500</v>
      </c>
      <c r="F33" s="27">
        <v>8500</v>
      </c>
      <c r="G33" s="27">
        <f>C33*F33</f>
        <v>85000</v>
      </c>
      <c r="H33" s="27" t="str">
        <f>E33-G33 &amp; " (" &amp; TEXT((E33-G33)/E33,"0%") &amp; ")"</f>
        <v>87500 (51%)</v>
      </c>
    </row>
    <row r="34" spans="1:8" x14ac:dyDescent="0.25">
      <c r="A34" s="11" t="s">
        <v>434</v>
      </c>
      <c r="B34" s="11" t="s">
        <v>435</v>
      </c>
      <c r="C34" s="27">
        <v>5</v>
      </c>
      <c r="D34" s="27">
        <v>21390</v>
      </c>
      <c r="E34" s="27">
        <f>C33*D33</f>
        <v>172500</v>
      </c>
      <c r="F34" s="27">
        <v>10500</v>
      </c>
      <c r="G34" s="27">
        <f>C33*F33</f>
        <v>85000</v>
      </c>
      <c r="H34" s="27" t="str">
        <f>E33-G33 &amp; " (" &amp; TEXT((E33-G33)/E33,"0%") &amp; ")"</f>
        <v>87500 (51%)</v>
      </c>
    </row>
    <row r="35" spans="1:8" x14ac:dyDescent="0.25">
      <c r="A35" s="11" t="s">
        <v>436</v>
      </c>
      <c r="B35" s="11" t="s">
        <v>437</v>
      </c>
      <c r="C35" s="27">
        <v>16</v>
      </c>
      <c r="D35" s="27">
        <v>33120</v>
      </c>
      <c r="E35" s="27">
        <f>C34*D34</f>
        <v>106950</v>
      </c>
      <c r="F35" s="27">
        <v>16000</v>
      </c>
      <c r="G35" s="27">
        <f>C34*F34</f>
        <v>52500</v>
      </c>
      <c r="H35" s="27" t="str">
        <f>E34-G34 &amp; " (" &amp; TEXT((E34-G34)/E34,"0%") &amp; ")"</f>
        <v>87500 (51%)</v>
      </c>
    </row>
    <row r="36" spans="1:8" x14ac:dyDescent="0.25">
      <c r="A36" s="11" t="s">
        <v>438</v>
      </c>
      <c r="B36" s="11" t="s">
        <v>195</v>
      </c>
      <c r="C36" s="27">
        <v>22</v>
      </c>
      <c r="D36" s="27">
        <v>34500</v>
      </c>
      <c r="E36" s="27">
        <f>C35*D35</f>
        <v>529920</v>
      </c>
      <c r="F36" s="27">
        <v>18000</v>
      </c>
      <c r="G36" s="27">
        <f>C35*F35</f>
        <v>256000</v>
      </c>
      <c r="H36" s="27" t="str">
        <f>E35-G35 &amp; " (" &amp; TEXT((E35-G35)/E35,"0%") &amp; ")"</f>
        <v>54450 (51%)</v>
      </c>
    </row>
    <row r="38" spans="1:8" x14ac:dyDescent="0.25">
      <c r="E38" s="96">
        <f>SUM(E33:E37)</f>
        <v>981870</v>
      </c>
      <c r="G38" s="96">
        <f>SUM(G33:G37)</f>
        <v>478500</v>
      </c>
    </row>
    <row r="39" spans="1:8" x14ac:dyDescent="0.25">
      <c r="B39" s="18" t="s">
        <v>73</v>
      </c>
      <c r="E39" s="61"/>
      <c r="F39" s="61">
        <f>G38</f>
        <v>478500</v>
      </c>
      <c r="G39" s="61"/>
    </row>
    <row r="40" spans="1:8" x14ac:dyDescent="0.25">
      <c r="A40" s="53" t="s">
        <v>187</v>
      </c>
      <c r="B40" s="53" t="s">
        <v>188</v>
      </c>
      <c r="C40" s="121"/>
      <c r="D40" s="121"/>
      <c r="E40" s="121"/>
      <c r="F40" s="121"/>
      <c r="G40" s="121"/>
      <c r="H40" s="121"/>
    </row>
    <row r="41" spans="1:8" x14ac:dyDescent="0.25">
      <c r="A41" s="11" t="s">
        <v>439</v>
      </c>
      <c r="B41" s="11" t="s">
        <v>440</v>
      </c>
      <c r="C41" s="11">
        <v>47</v>
      </c>
      <c r="D41" s="11">
        <v>8280</v>
      </c>
      <c r="E41" s="11">
        <f>C41*D41</f>
        <v>389160</v>
      </c>
      <c r="F41" s="11">
        <v>4200</v>
      </c>
      <c r="G41" s="11">
        <f>C41*F41</f>
        <v>197400</v>
      </c>
      <c r="H41" s="11" t="str">
        <f>E41-G41 &amp; " (" &amp; TEXT((E41-G41)/E41,"0%") &amp; ")"</f>
        <v>191760 (49%)</v>
      </c>
    </row>
    <row r="42" spans="1:8" x14ac:dyDescent="0.25">
      <c r="A42" s="11" t="s">
        <v>441</v>
      </c>
      <c r="B42" s="11" t="s">
        <v>189</v>
      </c>
      <c r="C42" s="11">
        <v>15</v>
      </c>
      <c r="D42" s="11">
        <v>2070</v>
      </c>
      <c r="E42" s="11">
        <f>C42*D42</f>
        <v>31050</v>
      </c>
      <c r="F42" s="11">
        <v>900</v>
      </c>
      <c r="G42" s="11">
        <f>C42*F42</f>
        <v>13500</v>
      </c>
      <c r="H42" s="11" t="str">
        <f>E41-G41 &amp; " (" &amp; TEXT((E41-G41)/E41,"0%") &amp; ")"</f>
        <v>191760 (49%)</v>
      </c>
    </row>
    <row r="43" spans="1:8" x14ac:dyDescent="0.25">
      <c r="A43" s="11" t="s">
        <v>442</v>
      </c>
      <c r="B43" s="11" t="s">
        <v>190</v>
      </c>
      <c r="C43" s="11">
        <v>20</v>
      </c>
      <c r="D43" s="11">
        <v>2070</v>
      </c>
      <c r="E43" s="11">
        <f>C41*D41</f>
        <v>389160</v>
      </c>
      <c r="F43" s="11">
        <v>1100</v>
      </c>
      <c r="G43" s="11">
        <f>C41*F41</f>
        <v>197400</v>
      </c>
      <c r="H43" s="11" t="str">
        <f>E41-G41 &amp; " (" &amp; TEXT((E41-G41)/E41,"0%") &amp; ")"</f>
        <v>191760 (49%)</v>
      </c>
    </row>
    <row r="44" spans="1:8" x14ac:dyDescent="0.25">
      <c r="A44" s="11" t="s">
        <v>443</v>
      </c>
      <c r="B44" s="11" t="s">
        <v>444</v>
      </c>
      <c r="C44" s="11">
        <v>15</v>
      </c>
      <c r="D44" s="11">
        <v>2760</v>
      </c>
      <c r="E44" s="11">
        <f>C42*D42</f>
        <v>31050</v>
      </c>
      <c r="F44" s="11">
        <v>1400</v>
      </c>
      <c r="G44" s="11">
        <f>C42*F42</f>
        <v>13500</v>
      </c>
      <c r="H44" s="11" t="str">
        <f>E42-G42 &amp; " (" &amp; TEXT((E42-G42)/E42,"0%") &amp; ")"</f>
        <v>17550 (57%)</v>
      </c>
    </row>
    <row r="45" spans="1:8" x14ac:dyDescent="0.25">
      <c r="A45" s="11" t="s">
        <v>445</v>
      </c>
      <c r="B45" s="11" t="s">
        <v>191</v>
      </c>
      <c r="C45" s="11">
        <v>20</v>
      </c>
      <c r="D45" s="11">
        <v>4140</v>
      </c>
      <c r="E45" s="11">
        <f>C43*D43</f>
        <v>41400</v>
      </c>
      <c r="F45" s="11">
        <v>1900</v>
      </c>
      <c r="G45" s="11">
        <f>C43*F43</f>
        <v>22000</v>
      </c>
      <c r="H45" s="11" t="str">
        <f>E43-G43 &amp; " (" &amp; TEXT((E43-G43)/E43,"0%") &amp; ")"</f>
        <v>191760 (49%)</v>
      </c>
    </row>
    <row r="46" spans="1:8" x14ac:dyDescent="0.25">
      <c r="A46" s="178" t="s">
        <v>192</v>
      </c>
      <c r="B46" s="173"/>
      <c r="C46" s="173"/>
      <c r="D46" s="173"/>
      <c r="E46" s="173"/>
      <c r="F46" s="61">
        <f>SUM(G41:G45)</f>
        <v>443800</v>
      </c>
    </row>
    <row r="47" spans="1:8" x14ac:dyDescent="0.25">
      <c r="A47" s="54" t="s">
        <v>193</v>
      </c>
      <c r="B47" s="54" t="s">
        <v>194</v>
      </c>
      <c r="C47" s="122"/>
      <c r="D47" s="122"/>
      <c r="E47" s="122"/>
      <c r="F47" s="122"/>
      <c r="G47" s="122"/>
      <c r="H47" s="122"/>
    </row>
    <row r="48" spans="1:8" x14ac:dyDescent="0.25">
      <c r="A48" s="11" t="s">
        <v>446</v>
      </c>
      <c r="B48" s="11" t="s">
        <v>447</v>
      </c>
      <c r="C48" s="11">
        <v>8</v>
      </c>
      <c r="D48" s="11">
        <v>34500</v>
      </c>
      <c r="E48" s="11">
        <f>D48*C48</f>
        <v>276000</v>
      </c>
      <c r="F48" s="11">
        <v>18000</v>
      </c>
      <c r="G48" s="11">
        <f>F48*C48</f>
        <v>144000</v>
      </c>
      <c r="H48" s="11" t="str">
        <f>E48-G48 &amp; " (" &amp; TEXT((E48-G48)/E48,"0%") &amp; ")"</f>
        <v>132000 (48%)</v>
      </c>
    </row>
    <row r="49" spans="1:8" x14ac:dyDescent="0.25">
      <c r="A49" s="178" t="s">
        <v>196</v>
      </c>
      <c r="B49" s="173"/>
      <c r="C49" s="173"/>
      <c r="D49" s="173"/>
      <c r="E49" s="173"/>
      <c r="F49" s="61">
        <f>G48</f>
        <v>144000</v>
      </c>
    </row>
    <row r="51" spans="1:8" x14ac:dyDescent="0.25">
      <c r="A51" s="55" t="s">
        <v>197</v>
      </c>
      <c r="B51" s="55" t="s">
        <v>198</v>
      </c>
      <c r="C51" s="123"/>
      <c r="D51" s="123"/>
      <c r="E51" s="123"/>
      <c r="F51" s="123"/>
      <c r="G51" s="123"/>
      <c r="H51" s="123"/>
    </row>
    <row r="52" spans="1:8" x14ac:dyDescent="0.25">
      <c r="A52" s="11" t="s">
        <v>448</v>
      </c>
      <c r="B52" s="11" t="s">
        <v>449</v>
      </c>
      <c r="C52" s="11">
        <v>1</v>
      </c>
      <c r="D52" s="11">
        <v>1725000</v>
      </c>
      <c r="E52" s="11">
        <f>D52*C52</f>
        <v>1725000</v>
      </c>
      <c r="F52" s="11">
        <v>920000</v>
      </c>
      <c r="G52" s="11">
        <f>F52*C52</f>
        <v>920000</v>
      </c>
      <c r="H52" s="83" t="str">
        <f>E52-G52 &amp; " (" &amp; TEXT((E52-G52)/E52,"0%") &amp; ")"</f>
        <v>805000 (47%)</v>
      </c>
    </row>
    <row r="53" spans="1:8" x14ac:dyDescent="0.25">
      <c r="A53" s="11" t="s">
        <v>450</v>
      </c>
      <c r="B53" s="11" t="s">
        <v>451</v>
      </c>
      <c r="C53" s="11">
        <v>1</v>
      </c>
      <c r="D53" s="11">
        <v>402500</v>
      </c>
      <c r="E53" s="11">
        <f>D53*C53</f>
        <v>402500</v>
      </c>
      <c r="F53" s="11">
        <v>145000</v>
      </c>
      <c r="G53" s="11">
        <f>F53*C53</f>
        <v>145000</v>
      </c>
      <c r="H53" s="83" t="str">
        <f>E53-G53 &amp; " (" &amp; TEXT((E53-G53)/E53,"0%") &amp; ")"</f>
        <v>257500 (64%)</v>
      </c>
    </row>
    <row r="54" spans="1:8" x14ac:dyDescent="0.25">
      <c r="A54" s="11"/>
      <c r="B54" s="11"/>
      <c r="C54" s="11"/>
      <c r="D54" s="11"/>
      <c r="E54" s="11"/>
      <c r="F54" s="11"/>
      <c r="G54" s="11"/>
      <c r="H54" s="83"/>
    </row>
    <row r="55" spans="1:8" x14ac:dyDescent="0.25">
      <c r="A55" s="178" t="s">
        <v>201</v>
      </c>
      <c r="B55" s="173"/>
      <c r="C55" s="173"/>
      <c r="D55" s="173"/>
      <c r="E55" s="173"/>
      <c r="F55" s="61">
        <f>SUM(G52:G53)</f>
        <v>1065000</v>
      </c>
    </row>
    <row r="56" spans="1:8" x14ac:dyDescent="0.25">
      <c r="A56" s="13" t="s">
        <v>199</v>
      </c>
      <c r="B56" s="13" t="s">
        <v>200</v>
      </c>
      <c r="C56" s="124"/>
      <c r="D56" s="124"/>
      <c r="E56" s="124"/>
      <c r="F56" s="124"/>
      <c r="G56" s="124"/>
      <c r="H56" s="124"/>
    </row>
    <row r="57" spans="1:8" x14ac:dyDescent="0.25">
      <c r="A57" s="11" t="s">
        <v>452</v>
      </c>
      <c r="B57" s="11" t="s">
        <v>453</v>
      </c>
      <c r="C57" s="11">
        <v>5</v>
      </c>
      <c r="D57" s="11">
        <v>11500</v>
      </c>
      <c r="E57" s="11">
        <f>D57*C57</f>
        <v>57500</v>
      </c>
      <c r="F57" s="11">
        <v>3200</v>
      </c>
      <c r="G57" s="11">
        <f>F57*C57</f>
        <v>16000</v>
      </c>
      <c r="H57" s="83" t="str">
        <f>E52-G52 &amp; " (" &amp; TEXT((E52-G52)/E52,"0%") &amp; ")"</f>
        <v>805000 (47%)</v>
      </c>
    </row>
    <row r="58" spans="1:8" ht="21" customHeight="1" x14ac:dyDescent="0.25">
      <c r="A58" s="11" t="s">
        <v>454</v>
      </c>
      <c r="B58" s="11" t="s">
        <v>455</v>
      </c>
      <c r="C58" s="11">
        <v>1</v>
      </c>
      <c r="D58" s="11">
        <v>862500</v>
      </c>
      <c r="E58" s="11">
        <f>D58*C58</f>
        <v>862500</v>
      </c>
      <c r="F58" s="11">
        <v>55000</v>
      </c>
      <c r="G58" s="11">
        <f>F58*C58</f>
        <v>55000</v>
      </c>
      <c r="H58" s="83" t="str">
        <f>E53-G53 &amp; " (" &amp; TEXT((E53-G53)/E53,"0%") &amp; ")"</f>
        <v>257500 (64%)</v>
      </c>
    </row>
    <row r="59" spans="1:8" x14ac:dyDescent="0.25">
      <c r="B59" t="s">
        <v>456</v>
      </c>
      <c r="C59"/>
      <c r="D59"/>
      <c r="E59" s="5">
        <f>SUM(E57:E58)</f>
        <v>920000</v>
      </c>
      <c r="F59" s="5">
        <f>G59</f>
        <v>71000</v>
      </c>
      <c r="G59" s="5">
        <f>SUM(G57:G58)</f>
        <v>71000</v>
      </c>
      <c r="H59" t="str">
        <f>E59-G59 &amp; " (" &amp; TEXT((E59-G59)/E59,"0%") &amp; ")"</f>
        <v>849000 (92%)</v>
      </c>
    </row>
    <row r="62" spans="1:8" ht="18.75" x14ac:dyDescent="0.3">
      <c r="B62" s="90" t="s">
        <v>457</v>
      </c>
      <c r="F62" s="34">
        <f>F59+F55+F49+F46+F39+G30</f>
        <v>9981300</v>
      </c>
    </row>
    <row r="65" spans="2:2" x14ac:dyDescent="0.25">
      <c r="B65" t="s">
        <v>117</v>
      </c>
    </row>
    <row r="66" spans="2:2" x14ac:dyDescent="0.25">
      <c r="B66" t="s">
        <v>118</v>
      </c>
    </row>
    <row r="67" spans="2:2" x14ac:dyDescent="0.25">
      <c r="B67" t="s">
        <v>119</v>
      </c>
    </row>
    <row r="69" spans="2:2" x14ac:dyDescent="0.25">
      <c r="B69" t="s">
        <v>120</v>
      </c>
    </row>
  </sheetData>
  <mergeCells count="5">
    <mergeCell ref="A55:E55"/>
    <mergeCell ref="A1:F1"/>
    <mergeCell ref="B10:F10"/>
    <mergeCell ref="A46:E46"/>
    <mergeCell ref="A49:E49"/>
  </mergeCells>
  <pageMargins left="0.3" right="0.3" top="0.5" bottom="0.5" header="0.5" footer="0.5"/>
  <pageSetup paperSize="9" scale="76" fitToHeight="0" orientation="landscape" horizontalDpi="4294967292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EF79-F756-452C-9729-1CC411183C8A}">
  <sheetPr>
    <pageSetUpPr fitToPage="1"/>
  </sheetPr>
  <dimension ref="A1:I26"/>
  <sheetViews>
    <sheetView workbookViewId="0">
      <selection sqref="A1:E1"/>
    </sheetView>
  </sheetViews>
  <sheetFormatPr baseColWidth="10" defaultRowHeight="15" x14ac:dyDescent="0.25"/>
  <cols>
    <col min="2" max="2" width="53.5703125" customWidth="1"/>
    <col min="4" max="4" width="11.42578125" style="26"/>
    <col min="5" max="5" width="15.85546875" style="26" customWidth="1"/>
    <col min="6" max="6" width="19" style="26" customWidth="1"/>
    <col min="7" max="7" width="27" style="26" customWidth="1"/>
    <col min="8" max="8" width="22" style="26" customWidth="1"/>
    <col min="9" max="9" width="11.42578125" style="26"/>
  </cols>
  <sheetData>
    <row r="1" spans="1:9" x14ac:dyDescent="0.25">
      <c r="A1" s="177" t="s">
        <v>203</v>
      </c>
      <c r="B1" s="173"/>
      <c r="C1" s="173"/>
      <c r="D1" s="173"/>
      <c r="E1" s="176"/>
    </row>
    <row r="10" spans="1:9" x14ac:dyDescent="0.25">
      <c r="A10" s="51" t="s">
        <v>181</v>
      </c>
      <c r="B10" s="180" t="s">
        <v>204</v>
      </c>
      <c r="C10" s="173"/>
      <c r="D10" s="173"/>
      <c r="E10" s="176"/>
      <c r="F10" s="176"/>
      <c r="G10" s="95"/>
      <c r="H10" s="95" t="s">
        <v>48</v>
      </c>
      <c r="I10" s="95"/>
    </row>
    <row r="12" spans="1:9" x14ac:dyDescent="0.25">
      <c r="A12" s="5" t="s">
        <v>38</v>
      </c>
      <c r="B12" s="5" t="s">
        <v>39</v>
      </c>
      <c r="C12" s="5" t="s">
        <v>40</v>
      </c>
      <c r="D12" s="61" t="s">
        <v>41</v>
      </c>
      <c r="E12" s="61" t="s">
        <v>42</v>
      </c>
      <c r="F12" s="61" t="s">
        <v>43</v>
      </c>
      <c r="G12" s="61" t="s">
        <v>44</v>
      </c>
      <c r="H12" s="61" t="s">
        <v>45</v>
      </c>
      <c r="I12" s="61" t="s">
        <v>372</v>
      </c>
    </row>
    <row r="13" spans="1:9" x14ac:dyDescent="0.25">
      <c r="A13" s="5"/>
      <c r="B13" s="5"/>
      <c r="C13" s="5"/>
      <c r="D13" s="61"/>
      <c r="E13" s="61"/>
      <c r="F13" s="61"/>
      <c r="G13" s="61"/>
      <c r="H13" s="61"/>
      <c r="I13" s="61"/>
    </row>
    <row r="14" spans="1:9" x14ac:dyDescent="0.25">
      <c r="A14" s="5"/>
      <c r="B14" s="5" t="s">
        <v>257</v>
      </c>
      <c r="C14" s="5"/>
      <c r="D14" s="61"/>
      <c r="E14" s="61"/>
      <c r="F14" s="61"/>
      <c r="G14" s="61"/>
      <c r="H14" s="61"/>
      <c r="I14" s="61"/>
    </row>
    <row r="15" spans="1:9" x14ac:dyDescent="0.25">
      <c r="A15">
        <v>1</v>
      </c>
      <c r="B15" t="s">
        <v>379</v>
      </c>
      <c r="C15" t="s">
        <v>59</v>
      </c>
      <c r="D15" s="26">
        <v>559</v>
      </c>
      <c r="E15" s="26">
        <v>20662</v>
      </c>
      <c r="F15" s="26">
        <f>D15*E15</f>
        <v>11550058</v>
      </c>
      <c r="G15" s="26">
        <v>4000</v>
      </c>
      <c r="H15" s="26">
        <f>G15*D15</f>
        <v>2236000</v>
      </c>
      <c r="I15" s="26">
        <v>9314058</v>
      </c>
    </row>
    <row r="17" spans="1:9" x14ac:dyDescent="0.25">
      <c r="B17" t="s">
        <v>289</v>
      </c>
    </row>
    <row r="18" spans="1:9" x14ac:dyDescent="0.25">
      <c r="A18">
        <v>1</v>
      </c>
      <c r="B18" t="s">
        <v>379</v>
      </c>
      <c r="C18" t="s">
        <v>59</v>
      </c>
      <c r="D18" s="26">
        <v>200</v>
      </c>
      <c r="E18" s="26">
        <v>20662</v>
      </c>
      <c r="F18" s="26">
        <f>D18*E18</f>
        <v>4132400</v>
      </c>
      <c r="G18" s="26">
        <v>4000</v>
      </c>
      <c r="H18" s="26">
        <f>G18*D18</f>
        <v>800000</v>
      </c>
      <c r="I18" s="26">
        <v>9314058</v>
      </c>
    </row>
    <row r="19" spans="1:9" ht="21" customHeight="1" x14ac:dyDescent="0.35">
      <c r="B19" s="41" t="s">
        <v>205</v>
      </c>
      <c r="F19" s="26">
        <f>H18+H15</f>
        <v>3036000</v>
      </c>
    </row>
    <row r="22" spans="1:9" x14ac:dyDescent="0.25">
      <c r="B22" t="s">
        <v>117</v>
      </c>
    </row>
    <row r="23" spans="1:9" x14ac:dyDescent="0.25">
      <c r="B23" t="s">
        <v>118</v>
      </c>
    </row>
    <row r="24" spans="1:9" x14ac:dyDescent="0.25">
      <c r="B24" t="s">
        <v>119</v>
      </c>
    </row>
    <row r="26" spans="1:9" x14ac:dyDescent="0.25">
      <c r="B26" t="s">
        <v>120</v>
      </c>
    </row>
  </sheetData>
  <mergeCells count="2">
    <mergeCell ref="A1:E1"/>
    <mergeCell ref="B10:F10"/>
  </mergeCells>
  <pageMargins left="0.3" right="0.3" top="0.5" bottom="0.5" header="0.3" footer="0.3"/>
  <pageSetup paperSize="9" scale="77" fitToHeight="0" orientation="landscape" horizontalDpi="4294967292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F22"/>
  <sheetViews>
    <sheetView workbookViewId="0"/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customWidth="1"/>
    <col min="5" max="5" width="18" customWidth="1"/>
    <col min="6" max="6" width="18" style="26" customWidth="1"/>
  </cols>
  <sheetData>
    <row r="1" spans="1:6" ht="18.75" customHeight="1" x14ac:dyDescent="0.3">
      <c r="A1" s="14" t="s">
        <v>206</v>
      </c>
    </row>
    <row r="2" spans="1:6" ht="18.75" customHeight="1" x14ac:dyDescent="0.3">
      <c r="A2" s="14"/>
    </row>
    <row r="3" spans="1:6" ht="18.75" customHeight="1" x14ac:dyDescent="0.3">
      <c r="A3" s="14"/>
    </row>
    <row r="4" spans="1:6" ht="18.75" customHeight="1" x14ac:dyDescent="0.3">
      <c r="A4" s="14"/>
    </row>
    <row r="5" spans="1:6" ht="18.75" customHeight="1" x14ac:dyDescent="0.3">
      <c r="A5" s="14"/>
    </row>
    <row r="6" spans="1:6" ht="18.75" customHeight="1" x14ac:dyDescent="0.3">
      <c r="A6" s="14"/>
    </row>
    <row r="7" spans="1:6" ht="18.75" customHeight="1" x14ac:dyDescent="0.3">
      <c r="A7" s="14"/>
    </row>
    <row r="8" spans="1:6" ht="18.75" customHeight="1" x14ac:dyDescent="0.3">
      <c r="A8" s="14" t="s">
        <v>181</v>
      </c>
      <c r="B8" s="181" t="s">
        <v>207</v>
      </c>
      <c r="C8" s="173"/>
      <c r="D8" s="173"/>
      <c r="E8" s="173"/>
    </row>
    <row r="9" spans="1:6" x14ac:dyDescent="0.25">
      <c r="A9" s="4" t="s">
        <v>38</v>
      </c>
      <c r="B9" s="4" t="s">
        <v>39</v>
      </c>
      <c r="C9" s="4" t="s">
        <v>40</v>
      </c>
      <c r="D9" s="4" t="s">
        <v>41</v>
      </c>
      <c r="E9" s="4" t="s">
        <v>121</v>
      </c>
      <c r="F9" s="60" t="s">
        <v>10</v>
      </c>
    </row>
    <row r="10" spans="1:6" ht="33" customHeight="1" x14ac:dyDescent="0.25">
      <c r="A10">
        <v>1</v>
      </c>
      <c r="B10" s="47" t="s">
        <v>208</v>
      </c>
      <c r="C10" t="s">
        <v>52</v>
      </c>
      <c r="D10">
        <v>1</v>
      </c>
      <c r="E10" s="26">
        <v>2530000</v>
      </c>
      <c r="F10" s="59">
        <f>E10*D10</f>
        <v>2530000</v>
      </c>
    </row>
    <row r="14" spans="1:6" ht="21" customHeight="1" x14ac:dyDescent="0.35">
      <c r="B14" s="41" t="s">
        <v>209</v>
      </c>
      <c r="F14" s="59">
        <v>25300000</v>
      </c>
    </row>
    <row r="18" spans="2:2" x14ac:dyDescent="0.25">
      <c r="B18" t="s">
        <v>117</v>
      </c>
    </row>
    <row r="19" spans="2:2" x14ac:dyDescent="0.25">
      <c r="B19" t="s">
        <v>118</v>
      </c>
    </row>
    <row r="20" spans="2:2" x14ac:dyDescent="0.25">
      <c r="B20" t="s">
        <v>119</v>
      </c>
    </row>
    <row r="22" spans="2:2" x14ac:dyDescent="0.25">
      <c r="B22" t="s">
        <v>120</v>
      </c>
    </row>
  </sheetData>
  <mergeCells count="1">
    <mergeCell ref="B8:E8"/>
  </mergeCells>
  <pageMargins left="0.3" right="0.3" top="0.5" bottom="0.5" header="0.5" footer="0.5"/>
  <pageSetup paperSize="9" fitToHeight="0" orientation="landscape" horizontalDpi="4294967292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F29"/>
  <sheetViews>
    <sheetView workbookViewId="0"/>
  </sheetViews>
  <sheetFormatPr baseColWidth="10" defaultColWidth="9.140625" defaultRowHeight="15" x14ac:dyDescent="0.25"/>
  <cols>
    <col min="1" max="1" width="10" customWidth="1"/>
    <col min="2" max="2" width="87" customWidth="1"/>
    <col min="3" max="3" width="20" customWidth="1"/>
    <col min="4" max="4" width="12" style="26" customWidth="1"/>
    <col min="5" max="5" width="18" style="26" customWidth="1"/>
    <col min="6" max="6" width="21.7109375" style="26" customWidth="1"/>
  </cols>
  <sheetData>
    <row r="1" spans="1:6" x14ac:dyDescent="0.25">
      <c r="A1" t="s">
        <v>210</v>
      </c>
    </row>
    <row r="3" spans="1:6" x14ac:dyDescent="0.25">
      <c r="A3" t="s">
        <v>38</v>
      </c>
      <c r="B3" s="6"/>
    </row>
    <row r="4" spans="1:6" x14ac:dyDescent="0.25">
      <c r="A4" t="s">
        <v>211</v>
      </c>
      <c r="B4" s="6"/>
    </row>
    <row r="5" spans="1:6" x14ac:dyDescent="0.25">
      <c r="A5" t="s">
        <v>212</v>
      </c>
      <c r="B5" s="6"/>
    </row>
    <row r="6" spans="1:6" x14ac:dyDescent="0.25">
      <c r="A6" t="s">
        <v>213</v>
      </c>
      <c r="B6" s="6"/>
    </row>
    <row r="7" spans="1:6" x14ac:dyDescent="0.25">
      <c r="A7" t="s">
        <v>214</v>
      </c>
      <c r="B7" s="6"/>
    </row>
    <row r="8" spans="1:6" x14ac:dyDescent="0.25">
      <c r="A8" t="s">
        <v>215</v>
      </c>
      <c r="B8" s="6"/>
    </row>
    <row r="9" spans="1:6" x14ac:dyDescent="0.25">
      <c r="A9" t="s">
        <v>216</v>
      </c>
      <c r="B9" s="6"/>
    </row>
    <row r="10" spans="1:6" x14ac:dyDescent="0.25">
      <c r="B10" s="7"/>
    </row>
    <row r="11" spans="1:6" x14ac:dyDescent="0.25">
      <c r="B11" s="7"/>
    </row>
    <row r="12" spans="1:6" x14ac:dyDescent="0.25">
      <c r="B12" s="7"/>
    </row>
    <row r="13" spans="1:6" x14ac:dyDescent="0.25">
      <c r="B13" s="7"/>
    </row>
    <row r="14" spans="1:6" x14ac:dyDescent="0.25">
      <c r="A14" s="22" t="s">
        <v>148</v>
      </c>
      <c r="B14" s="22" t="s">
        <v>149</v>
      </c>
      <c r="C14" s="22" t="s">
        <v>40</v>
      </c>
      <c r="D14" s="31" t="s">
        <v>41</v>
      </c>
      <c r="E14" s="31" t="s">
        <v>121</v>
      </c>
      <c r="F14" s="31" t="s">
        <v>10</v>
      </c>
    </row>
    <row r="15" spans="1:6" x14ac:dyDescent="0.25">
      <c r="A15" s="11" t="s">
        <v>150</v>
      </c>
      <c r="B15" s="11" t="s">
        <v>217</v>
      </c>
      <c r="C15" s="11" t="s">
        <v>218</v>
      </c>
      <c r="D15" s="27">
        <v>2000</v>
      </c>
      <c r="E15" s="27">
        <v>65000</v>
      </c>
      <c r="F15" s="27">
        <f>D15*E15</f>
        <v>130000000</v>
      </c>
    </row>
    <row r="16" spans="1:6" x14ac:dyDescent="0.25">
      <c r="A16" s="11" t="s">
        <v>151</v>
      </c>
      <c r="B16" s="11" t="s">
        <v>217</v>
      </c>
      <c r="C16" s="11" t="s">
        <v>218</v>
      </c>
      <c r="D16" s="27">
        <v>104</v>
      </c>
      <c r="E16" s="27">
        <v>65000</v>
      </c>
      <c r="F16" s="27">
        <f>D16*E16</f>
        <v>6760000</v>
      </c>
    </row>
    <row r="17" spans="1:6" x14ac:dyDescent="0.25">
      <c r="A17" s="11" t="s">
        <v>152</v>
      </c>
      <c r="B17" s="11" t="s">
        <v>219</v>
      </c>
      <c r="C17" s="11"/>
      <c r="D17" s="27"/>
      <c r="E17" s="27"/>
      <c r="F17" s="27"/>
    </row>
    <row r="18" spans="1:6" x14ac:dyDescent="0.25">
      <c r="A18" s="11" t="s">
        <v>153</v>
      </c>
      <c r="B18" s="11" t="s">
        <v>155</v>
      </c>
      <c r="C18" s="11"/>
      <c r="D18" s="27"/>
      <c r="E18" s="27"/>
      <c r="F18" s="27"/>
    </row>
    <row r="19" spans="1:6" x14ac:dyDescent="0.25">
      <c r="A19" s="11" t="s">
        <v>154</v>
      </c>
      <c r="B19" s="11" t="s">
        <v>156</v>
      </c>
      <c r="C19" s="11"/>
      <c r="D19" s="27"/>
      <c r="E19" s="27"/>
      <c r="F19" s="27"/>
    </row>
    <row r="21" spans="1:6" ht="21" customHeight="1" x14ac:dyDescent="0.35">
      <c r="B21" s="46" t="s">
        <v>220</v>
      </c>
      <c r="C21" s="41"/>
      <c r="F21" s="76">
        <v>50000000</v>
      </c>
    </row>
    <row r="25" spans="1:6" x14ac:dyDescent="0.25">
      <c r="B25" t="s">
        <v>117</v>
      </c>
    </row>
    <row r="26" spans="1:6" x14ac:dyDescent="0.25">
      <c r="B26" t="s">
        <v>118</v>
      </c>
    </row>
    <row r="27" spans="1:6" x14ac:dyDescent="0.25">
      <c r="B27" t="s">
        <v>119</v>
      </c>
    </row>
    <row r="29" spans="1:6" x14ac:dyDescent="0.25">
      <c r="B29" t="s">
        <v>120</v>
      </c>
    </row>
  </sheetData>
  <pageMargins left="0.3" right="0.3" top="0.5" bottom="0.5" header="0.5" footer="0.5"/>
  <pageSetup paperSize="9" scale="83" fitToHeight="0" orientation="landscape" horizontalDpi="4294967292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I26"/>
  <sheetViews>
    <sheetView workbookViewId="0"/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style="26" customWidth="1"/>
    <col min="5" max="6" width="18" style="26" customWidth="1"/>
    <col min="7" max="7" width="19.5703125" style="26" customWidth="1"/>
    <col min="8" max="8" width="18" style="26" customWidth="1"/>
    <col min="9" max="9" width="19.42578125" style="26" customWidth="1"/>
  </cols>
  <sheetData>
    <row r="1" spans="1:9" ht="18.75" customHeight="1" x14ac:dyDescent="0.3">
      <c r="A1" s="14" t="s">
        <v>221</v>
      </c>
    </row>
    <row r="2" spans="1:9" ht="18.75" customHeight="1" x14ac:dyDescent="0.3">
      <c r="A2" s="14"/>
    </row>
    <row r="3" spans="1:9" ht="18.75" customHeight="1" x14ac:dyDescent="0.3">
      <c r="A3" s="14"/>
    </row>
    <row r="4" spans="1:9" ht="18.75" customHeight="1" x14ac:dyDescent="0.3">
      <c r="A4" s="14"/>
    </row>
    <row r="5" spans="1:9" ht="18.75" customHeight="1" x14ac:dyDescent="0.3">
      <c r="A5" s="14"/>
    </row>
    <row r="6" spans="1:9" ht="18.75" customHeight="1" x14ac:dyDescent="0.3">
      <c r="A6" s="14"/>
    </row>
    <row r="7" spans="1:9" ht="18.75" customHeight="1" x14ac:dyDescent="0.3">
      <c r="A7" s="14"/>
    </row>
    <row r="8" spans="1:9" ht="18.75" customHeight="1" x14ac:dyDescent="0.3">
      <c r="A8" s="14"/>
    </row>
    <row r="9" spans="1:9" ht="18.75" customHeight="1" x14ac:dyDescent="0.3">
      <c r="A9" s="14"/>
    </row>
    <row r="10" spans="1:9" x14ac:dyDescent="0.25">
      <c r="A10" s="118" t="s">
        <v>38</v>
      </c>
      <c r="B10" s="118" t="s">
        <v>39</v>
      </c>
      <c r="C10" s="118" t="s">
        <v>40</v>
      </c>
      <c r="D10" s="119" t="s">
        <v>41</v>
      </c>
      <c r="E10" s="119" t="s">
        <v>42</v>
      </c>
      <c r="F10" s="119" t="s">
        <v>43</v>
      </c>
      <c r="G10" s="119" t="s">
        <v>44</v>
      </c>
      <c r="H10" s="119" t="s">
        <v>45</v>
      </c>
      <c r="I10" s="119" t="s">
        <v>372</v>
      </c>
    </row>
    <row r="11" spans="1:9" x14ac:dyDescent="0.25">
      <c r="A11">
        <v>1</v>
      </c>
      <c r="B11" t="s">
        <v>222</v>
      </c>
      <c r="C11" t="s">
        <v>52</v>
      </c>
      <c r="D11" s="26">
        <v>1</v>
      </c>
      <c r="E11" s="26">
        <v>8850000</v>
      </c>
      <c r="F11" s="26">
        <f>D11*E11</f>
        <v>8850000</v>
      </c>
      <c r="G11" s="26">
        <v>3500000</v>
      </c>
      <c r="H11" s="26">
        <f>D11*G11</f>
        <v>3500000</v>
      </c>
      <c r="I11" s="26">
        <f>F11-H11</f>
        <v>5350000</v>
      </c>
    </row>
    <row r="12" spans="1:9" x14ac:dyDescent="0.25">
      <c r="A12">
        <v>2</v>
      </c>
      <c r="B12" t="s">
        <v>223</v>
      </c>
      <c r="C12" t="s">
        <v>52</v>
      </c>
      <c r="D12" s="26">
        <v>1</v>
      </c>
      <c r="E12" s="26">
        <v>12250000</v>
      </c>
      <c r="F12" s="26">
        <f>D12*E12</f>
        <v>12250000</v>
      </c>
      <c r="G12" s="26">
        <v>5500000</v>
      </c>
      <c r="H12" s="26">
        <f>D12*G12</f>
        <v>5500000</v>
      </c>
      <c r="I12" s="26">
        <f>F12-H12</f>
        <v>6750000</v>
      </c>
    </row>
    <row r="18" spans="2:6" ht="21" customHeight="1" x14ac:dyDescent="0.35">
      <c r="B18" s="41" t="s">
        <v>202</v>
      </c>
      <c r="F18" s="26">
        <f>SUM(I11:I12)</f>
        <v>12100000</v>
      </c>
    </row>
    <row r="22" spans="2:6" x14ac:dyDescent="0.25">
      <c r="B22" t="s">
        <v>117</v>
      </c>
    </row>
    <row r="23" spans="2:6" x14ac:dyDescent="0.25">
      <c r="B23" t="s">
        <v>118</v>
      </c>
    </row>
    <row r="24" spans="2:6" x14ac:dyDescent="0.25">
      <c r="B24" t="s">
        <v>119</v>
      </c>
    </row>
    <row r="26" spans="2:6" x14ac:dyDescent="0.25">
      <c r="B26" t="s">
        <v>120</v>
      </c>
    </row>
  </sheetData>
  <pageMargins left="0.3" right="0.3" top="0.5" bottom="0.5" header="0.5" footer="0.5"/>
  <pageSetup paperSize="9" scale="76" fitToHeight="0" orientation="landscape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I26"/>
  <sheetViews>
    <sheetView workbookViewId="0"/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customWidth="1"/>
    <col min="5" max="6" width="18" style="26" customWidth="1"/>
    <col min="7" max="7" width="17.42578125" customWidth="1"/>
    <col min="8" max="8" width="16.7109375" customWidth="1"/>
    <col min="9" max="9" width="24.28515625" customWidth="1"/>
  </cols>
  <sheetData>
    <row r="1" spans="1:9" ht="18.75" customHeight="1" x14ac:dyDescent="0.3">
      <c r="A1" s="1" t="s">
        <v>224</v>
      </c>
    </row>
    <row r="2" spans="1:9" ht="18.75" customHeight="1" x14ac:dyDescent="0.3">
      <c r="A2" s="1"/>
    </row>
    <row r="3" spans="1:9" ht="18.75" customHeight="1" x14ac:dyDescent="0.3">
      <c r="A3" s="1"/>
    </row>
    <row r="4" spans="1:9" ht="18.75" customHeight="1" x14ac:dyDescent="0.3">
      <c r="A4" s="1"/>
    </row>
    <row r="5" spans="1:9" ht="18.75" customHeight="1" x14ac:dyDescent="0.3">
      <c r="A5" s="1"/>
    </row>
    <row r="6" spans="1:9" ht="18.75" customHeight="1" x14ac:dyDescent="0.3">
      <c r="A6" s="1"/>
    </row>
    <row r="7" spans="1:9" ht="18.75" customHeight="1" x14ac:dyDescent="0.3">
      <c r="A7" s="1"/>
    </row>
    <row r="8" spans="1:9" ht="18.75" customHeight="1" x14ac:dyDescent="0.3">
      <c r="A8" s="1"/>
    </row>
    <row r="9" spans="1:9" ht="18.75" customHeight="1" x14ac:dyDescent="0.3">
      <c r="A9" s="1"/>
    </row>
    <row r="10" spans="1:9" x14ac:dyDescent="0.25">
      <c r="A10" s="117" t="s">
        <v>38</v>
      </c>
      <c r="B10" s="117" t="s">
        <v>39</v>
      </c>
      <c r="C10" s="117" t="s">
        <v>40</v>
      </c>
      <c r="D10" s="117" t="s">
        <v>41</v>
      </c>
      <c r="E10" s="117" t="s">
        <v>42</v>
      </c>
      <c r="F10" s="117" t="s">
        <v>43</v>
      </c>
      <c r="G10" s="117" t="s">
        <v>44</v>
      </c>
      <c r="H10" s="117" t="s">
        <v>45</v>
      </c>
      <c r="I10" s="117" t="s">
        <v>372</v>
      </c>
    </row>
    <row r="11" spans="1:9" x14ac:dyDescent="0.25">
      <c r="A11">
        <v>1</v>
      </c>
      <c r="B11" t="s">
        <v>391</v>
      </c>
      <c r="C11" t="s">
        <v>159</v>
      </c>
      <c r="D11">
        <v>4</v>
      </c>
      <c r="E11">
        <v>272320</v>
      </c>
      <c r="F11">
        <v>1089280</v>
      </c>
      <c r="G11">
        <v>85000</v>
      </c>
      <c r="H11">
        <v>340000</v>
      </c>
      <c r="I11" t="s">
        <v>392</v>
      </c>
    </row>
    <row r="12" spans="1:9" x14ac:dyDescent="0.25">
      <c r="A12">
        <v>2</v>
      </c>
      <c r="B12" t="s">
        <v>225</v>
      </c>
      <c r="C12" t="s">
        <v>159</v>
      </c>
      <c r="D12">
        <v>5</v>
      </c>
      <c r="E12">
        <v>224250</v>
      </c>
      <c r="F12">
        <v>1121250</v>
      </c>
      <c r="G12">
        <v>65000</v>
      </c>
      <c r="H12">
        <v>325000</v>
      </c>
      <c r="I12" t="s">
        <v>393</v>
      </c>
    </row>
    <row r="13" spans="1:9" x14ac:dyDescent="0.25">
      <c r="A13">
        <v>3</v>
      </c>
      <c r="B13" t="s">
        <v>226</v>
      </c>
      <c r="C13" t="s">
        <v>159</v>
      </c>
      <c r="D13">
        <v>1</v>
      </c>
      <c r="E13">
        <v>1092500</v>
      </c>
      <c r="F13">
        <v>1092500</v>
      </c>
      <c r="G13">
        <v>310000</v>
      </c>
      <c r="H13">
        <v>310000</v>
      </c>
      <c r="I13" t="s">
        <v>394</v>
      </c>
    </row>
    <row r="14" spans="1:9" x14ac:dyDescent="0.25">
      <c r="A14">
        <v>4</v>
      </c>
      <c r="B14" t="s">
        <v>395</v>
      </c>
      <c r="C14" t="s">
        <v>159</v>
      </c>
      <c r="D14">
        <v>1</v>
      </c>
      <c r="E14">
        <v>184000</v>
      </c>
      <c r="F14">
        <v>184000</v>
      </c>
      <c r="G14">
        <v>65000</v>
      </c>
      <c r="H14">
        <v>65000</v>
      </c>
      <c r="I14" t="s">
        <v>396</v>
      </c>
    </row>
    <row r="15" spans="1:9" x14ac:dyDescent="0.25">
      <c r="A15">
        <v>5</v>
      </c>
      <c r="B15" t="s">
        <v>227</v>
      </c>
      <c r="C15" t="s">
        <v>52</v>
      </c>
      <c r="D15">
        <v>1</v>
      </c>
      <c r="E15">
        <v>575000</v>
      </c>
      <c r="F15">
        <v>575000</v>
      </c>
      <c r="G15">
        <v>210000</v>
      </c>
      <c r="H15">
        <v>210000</v>
      </c>
      <c r="I15" t="s">
        <v>397</v>
      </c>
    </row>
    <row r="16" spans="1:9" x14ac:dyDescent="0.25">
      <c r="A16">
        <v>5</v>
      </c>
      <c r="B16" t="s">
        <v>227</v>
      </c>
      <c r="C16" t="s">
        <v>52</v>
      </c>
      <c r="D16">
        <v>1</v>
      </c>
      <c r="E16" s="26">
        <v>575000</v>
      </c>
      <c r="F16" s="26">
        <f>E16*D16</f>
        <v>575000</v>
      </c>
    </row>
    <row r="17" spans="2:8" x14ac:dyDescent="0.25">
      <c r="E17" s="61"/>
      <c r="F17" s="61">
        <f>SUM(F11:F16)</f>
        <v>4637030</v>
      </c>
      <c r="H17" s="61">
        <f>SUM(H11:H16)</f>
        <v>1250000</v>
      </c>
    </row>
    <row r="19" spans="2:8" ht="21" customHeight="1" x14ac:dyDescent="0.35">
      <c r="B19" s="41" t="s">
        <v>228</v>
      </c>
      <c r="F19" s="61">
        <f>H17</f>
        <v>1250000</v>
      </c>
    </row>
    <row r="22" spans="2:8" x14ac:dyDescent="0.25">
      <c r="B22" t="s">
        <v>117</v>
      </c>
    </row>
    <row r="23" spans="2:8" x14ac:dyDescent="0.25">
      <c r="B23" t="s">
        <v>118</v>
      </c>
    </row>
    <row r="24" spans="2:8" x14ac:dyDescent="0.25">
      <c r="B24" t="s">
        <v>119</v>
      </c>
    </row>
    <row r="26" spans="2:8" x14ac:dyDescent="0.25">
      <c r="B26" t="s">
        <v>120</v>
      </c>
    </row>
  </sheetData>
  <pageMargins left="0.3" right="0.3" top="0.5" bottom="0.5" header="0.5" footer="0.5"/>
  <pageSetup paperSize="9" scale="75" fitToHeight="0" orientation="landscape" horizontalDpi="4294967292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F25"/>
  <sheetViews>
    <sheetView workbookViewId="0">
      <selection activeCell="H21" sqref="H21"/>
    </sheetView>
  </sheetViews>
  <sheetFormatPr baseColWidth="10" defaultColWidth="9.140625" defaultRowHeight="15" x14ac:dyDescent="0.25"/>
  <cols>
    <col min="1" max="1" width="10" customWidth="1"/>
    <col min="2" max="2" width="60" customWidth="1"/>
    <col min="3" max="3" width="10" customWidth="1"/>
    <col min="4" max="4" width="12" customWidth="1"/>
    <col min="5" max="6" width="18" customWidth="1"/>
  </cols>
  <sheetData>
    <row r="1" spans="1:6" ht="18.75" customHeight="1" x14ac:dyDescent="0.3">
      <c r="A1" s="14" t="s">
        <v>229</v>
      </c>
    </row>
    <row r="2" spans="1:6" ht="18.75" customHeight="1" x14ac:dyDescent="0.3">
      <c r="A2" s="14"/>
    </row>
    <row r="3" spans="1:6" ht="18.75" customHeight="1" x14ac:dyDescent="0.3">
      <c r="A3" s="14"/>
    </row>
    <row r="4" spans="1:6" ht="18.75" customHeight="1" x14ac:dyDescent="0.3">
      <c r="A4" s="14"/>
    </row>
    <row r="5" spans="1:6" ht="18.75" customHeight="1" x14ac:dyDescent="0.3">
      <c r="A5" s="14"/>
    </row>
    <row r="6" spans="1:6" ht="18.75" customHeight="1" x14ac:dyDescent="0.3">
      <c r="A6" s="14"/>
    </row>
    <row r="7" spans="1:6" ht="18.75" customHeight="1" x14ac:dyDescent="0.3">
      <c r="A7" s="14"/>
    </row>
    <row r="8" spans="1:6" ht="18.75" customHeight="1" x14ac:dyDescent="0.3">
      <c r="A8" s="14"/>
    </row>
    <row r="9" spans="1:6" x14ac:dyDescent="0.25">
      <c r="A9" s="65" t="s">
        <v>38</v>
      </c>
      <c r="B9" s="65" t="s">
        <v>39</v>
      </c>
      <c r="C9" s="65" t="s">
        <v>40</v>
      </c>
      <c r="D9" s="65" t="s">
        <v>41</v>
      </c>
      <c r="E9" s="65" t="s">
        <v>121</v>
      </c>
      <c r="F9" s="65" t="s">
        <v>10</v>
      </c>
    </row>
    <row r="10" spans="1:6" x14ac:dyDescent="0.25">
      <c r="A10" s="10" t="s">
        <v>230</v>
      </c>
      <c r="B10" s="11" t="s">
        <v>170</v>
      </c>
      <c r="C10" s="11" t="s">
        <v>159</v>
      </c>
      <c r="D10" s="11">
        <v>32</v>
      </c>
      <c r="E10" s="17">
        <v>184000</v>
      </c>
      <c r="F10" s="17">
        <f>E10*D10</f>
        <v>5888000</v>
      </c>
    </row>
    <row r="11" spans="1:6" x14ac:dyDescent="0.25">
      <c r="A11" s="10" t="s">
        <v>231</v>
      </c>
      <c r="B11" s="11" t="s">
        <v>171</v>
      </c>
      <c r="C11" s="11" t="s">
        <v>159</v>
      </c>
      <c r="D11" s="11">
        <v>20</v>
      </c>
      <c r="E11" s="17">
        <v>281750</v>
      </c>
      <c r="F11" s="17">
        <f>E11*D11</f>
        <v>5635000</v>
      </c>
    </row>
    <row r="12" spans="1:6" x14ac:dyDescent="0.25">
      <c r="A12" s="10" t="s">
        <v>232</v>
      </c>
      <c r="B12" s="11" t="s">
        <v>172</v>
      </c>
      <c r="C12" s="11" t="s">
        <v>159</v>
      </c>
      <c r="D12" s="11">
        <v>1</v>
      </c>
      <c r="E12" s="17">
        <v>3450000</v>
      </c>
      <c r="F12" s="17">
        <f>E12*D12</f>
        <v>3450000</v>
      </c>
    </row>
    <row r="13" spans="1:6" x14ac:dyDescent="0.25">
      <c r="A13" s="10" t="s">
        <v>233</v>
      </c>
      <c r="B13" s="11" t="s">
        <v>173</v>
      </c>
      <c r="C13" s="11" t="s">
        <v>174</v>
      </c>
      <c r="D13" s="11">
        <v>1</v>
      </c>
      <c r="E13" s="17">
        <v>4025000</v>
      </c>
      <c r="F13" s="17">
        <f>E13*D13</f>
        <v>4025000</v>
      </c>
    </row>
    <row r="14" spans="1:6" x14ac:dyDescent="0.25">
      <c r="F14" s="17"/>
    </row>
    <row r="15" spans="1:6" x14ac:dyDescent="0.25">
      <c r="F15" s="17"/>
    </row>
    <row r="16" spans="1:6" x14ac:dyDescent="0.25">
      <c r="F16" s="17"/>
    </row>
    <row r="17" spans="2:6" ht="21" customHeight="1" x14ac:dyDescent="0.35">
      <c r="B17" s="66" t="s">
        <v>234</v>
      </c>
      <c r="F17" s="17">
        <f>SUM(F10:F13)</f>
        <v>18998000</v>
      </c>
    </row>
    <row r="18" spans="2:6" x14ac:dyDescent="0.25">
      <c r="F18" s="17"/>
    </row>
    <row r="21" spans="2:6" x14ac:dyDescent="0.25">
      <c r="B21" t="s">
        <v>117</v>
      </c>
    </row>
    <row r="22" spans="2:6" x14ac:dyDescent="0.25">
      <c r="B22" t="s">
        <v>118</v>
      </c>
    </row>
    <row r="23" spans="2:6" x14ac:dyDescent="0.25">
      <c r="B23" t="s">
        <v>119</v>
      </c>
    </row>
    <row r="25" spans="2:6" x14ac:dyDescent="0.25">
      <c r="B25" t="s">
        <v>120</v>
      </c>
    </row>
  </sheetData>
  <pageMargins left="0.3" right="0.3" top="0.5" bottom="0.5" header="0.5" footer="0.5"/>
  <pageSetup paperSize="9" fitToHeight="0" orientation="landscape" horizontalDpi="4294967292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F23"/>
  <sheetViews>
    <sheetView workbookViewId="0">
      <selection activeCell="B11" sqref="B11"/>
    </sheetView>
  </sheetViews>
  <sheetFormatPr baseColWidth="10" defaultRowHeight="15" x14ac:dyDescent="0.25"/>
  <cols>
    <col min="2" max="2" width="42.85546875" customWidth="1"/>
    <col min="4" max="4" width="14.85546875" customWidth="1"/>
    <col min="5" max="5" width="23.42578125" style="26" customWidth="1"/>
    <col min="6" max="6" width="38.140625" style="26" customWidth="1"/>
  </cols>
  <sheetData>
    <row r="1" spans="1:6" ht="18.75" customHeight="1" x14ac:dyDescent="0.3">
      <c r="A1" s="182" t="s">
        <v>235</v>
      </c>
      <c r="B1" s="173"/>
      <c r="C1" s="173"/>
      <c r="D1" s="173"/>
      <c r="E1" s="176"/>
    </row>
    <row r="2" spans="1:6" x14ac:dyDescent="0.25">
      <c r="B2" s="49"/>
      <c r="C2" s="49"/>
      <c r="D2" s="49"/>
      <c r="E2" s="49"/>
    </row>
    <row r="3" spans="1:6" x14ac:dyDescent="0.25">
      <c r="B3" s="49"/>
      <c r="C3" s="49"/>
      <c r="D3" s="49"/>
      <c r="E3" s="49"/>
    </row>
    <row r="4" spans="1:6" x14ac:dyDescent="0.25">
      <c r="B4" s="49"/>
      <c r="C4" s="49"/>
      <c r="D4" s="49"/>
      <c r="E4" s="49"/>
    </row>
    <row r="5" spans="1:6" x14ac:dyDescent="0.25">
      <c r="B5" s="49"/>
      <c r="C5" s="49"/>
      <c r="D5" s="49"/>
      <c r="E5" s="49"/>
    </row>
    <row r="6" spans="1:6" x14ac:dyDescent="0.25">
      <c r="B6" s="49"/>
      <c r="C6" s="49"/>
      <c r="D6" s="49"/>
      <c r="E6" s="49"/>
    </row>
    <row r="7" spans="1:6" x14ac:dyDescent="0.25">
      <c r="B7" s="49"/>
      <c r="C7" s="49"/>
      <c r="D7" s="49"/>
      <c r="E7" s="49"/>
    </row>
    <row r="9" spans="1:6" ht="16.5" customHeight="1" x14ac:dyDescent="0.25"/>
    <row r="10" spans="1:6" x14ac:dyDescent="0.25">
      <c r="A10" s="4" t="s">
        <v>38</v>
      </c>
      <c r="B10" s="4" t="s">
        <v>39</v>
      </c>
      <c r="C10" s="4" t="s">
        <v>40</v>
      </c>
      <c r="D10" s="4" t="s">
        <v>41</v>
      </c>
      <c r="E10" s="60" t="s">
        <v>121</v>
      </c>
      <c r="F10" s="60" t="s">
        <v>10</v>
      </c>
    </row>
    <row r="11" spans="1:6" x14ac:dyDescent="0.25">
      <c r="B11" t="s">
        <v>380</v>
      </c>
      <c r="C11" t="s">
        <v>52</v>
      </c>
      <c r="D11">
        <v>1</v>
      </c>
      <c r="E11" s="26">
        <v>11000000</v>
      </c>
      <c r="F11" s="26">
        <f>E11*D11</f>
        <v>11000000</v>
      </c>
    </row>
    <row r="13" spans="1:6" ht="21" customHeight="1" x14ac:dyDescent="0.35">
      <c r="B13" s="41" t="s">
        <v>236</v>
      </c>
      <c r="F13" s="34">
        <f>SUM(F11)</f>
        <v>11000000</v>
      </c>
    </row>
    <row r="19" spans="2:2" x14ac:dyDescent="0.25">
      <c r="B19" t="s">
        <v>117</v>
      </c>
    </row>
    <row r="20" spans="2:2" x14ac:dyDescent="0.25">
      <c r="B20" t="s">
        <v>118</v>
      </c>
    </row>
    <row r="21" spans="2:2" x14ac:dyDescent="0.25">
      <c r="B21" t="s">
        <v>119</v>
      </c>
    </row>
    <row r="23" spans="2:2" x14ac:dyDescent="0.25">
      <c r="B23" t="s">
        <v>120</v>
      </c>
    </row>
  </sheetData>
  <mergeCells count="1">
    <mergeCell ref="A1:E1"/>
  </mergeCells>
  <pageMargins left="0.3" right="0.3" top="0.5" bottom="0.5" header="0.3" footer="0.3"/>
  <pageSetup paperSize="9" scale="99" fitToHeight="0" orientation="landscape" horizontalDpi="4294967292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F21"/>
  <sheetViews>
    <sheetView workbookViewId="0">
      <selection sqref="A1:E1"/>
    </sheetView>
  </sheetViews>
  <sheetFormatPr baseColWidth="10" defaultRowHeight="15" x14ac:dyDescent="0.25"/>
  <cols>
    <col min="1" max="1" width="9.7109375" customWidth="1"/>
    <col min="2" max="2" width="37.7109375" customWidth="1"/>
    <col min="5" max="5" width="24.42578125" customWidth="1"/>
    <col min="6" max="6" width="27.5703125" customWidth="1"/>
  </cols>
  <sheetData>
    <row r="1" spans="1:6" ht="18.75" customHeight="1" x14ac:dyDescent="0.3">
      <c r="A1" s="182" t="s">
        <v>237</v>
      </c>
      <c r="B1" s="173"/>
      <c r="C1" s="173"/>
      <c r="D1" s="173"/>
      <c r="E1" s="173"/>
    </row>
    <row r="11" spans="1:6" x14ac:dyDescent="0.25">
      <c r="A11" s="65" t="s">
        <v>38</v>
      </c>
      <c r="B11" s="65" t="s">
        <v>39</v>
      </c>
      <c r="C11" s="65" t="s">
        <v>40</v>
      </c>
      <c r="D11" s="65" t="s">
        <v>41</v>
      </c>
      <c r="E11" s="65" t="s">
        <v>121</v>
      </c>
      <c r="F11" s="65" t="s">
        <v>10</v>
      </c>
    </row>
    <row r="17" spans="2:2" x14ac:dyDescent="0.25">
      <c r="B17" t="s">
        <v>117</v>
      </c>
    </row>
    <row r="18" spans="2:2" x14ac:dyDescent="0.25">
      <c r="B18" t="s">
        <v>118</v>
      </c>
    </row>
    <row r="19" spans="2:2" x14ac:dyDescent="0.25">
      <c r="B19" t="s">
        <v>119</v>
      </c>
    </row>
    <row r="21" spans="2:2" x14ac:dyDescent="0.25">
      <c r="B21" t="s">
        <v>120</v>
      </c>
    </row>
  </sheetData>
  <mergeCells count="1">
    <mergeCell ref="A1:E1"/>
  </mergeCells>
  <pageMargins left="0.3" right="0.3" top="0.5" bottom="0.5" header="0.3" footer="0.3"/>
  <pageSetup paperSize="9" fitToHeight="0" orientation="landscape" horizontalDpi="4294967292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F24"/>
  <sheetViews>
    <sheetView workbookViewId="0">
      <selection sqref="A1:E1"/>
    </sheetView>
  </sheetViews>
  <sheetFormatPr baseColWidth="10" defaultRowHeight="15" x14ac:dyDescent="0.25"/>
  <cols>
    <col min="2" max="2" width="72.85546875" customWidth="1"/>
    <col min="5" max="5" width="21" style="26" customWidth="1"/>
    <col min="6" max="6" width="26.42578125" style="26" customWidth="1"/>
  </cols>
  <sheetData>
    <row r="1" spans="1:6" ht="18.75" customHeight="1" x14ac:dyDescent="0.3">
      <c r="A1" s="182" t="s">
        <v>238</v>
      </c>
      <c r="B1" s="173"/>
      <c r="C1" s="173"/>
      <c r="D1" s="173"/>
      <c r="E1" s="176"/>
    </row>
    <row r="10" spans="1:6" x14ac:dyDescent="0.25">
      <c r="A10" s="65" t="s">
        <v>38</v>
      </c>
      <c r="B10" s="65" t="s">
        <v>39</v>
      </c>
      <c r="C10" s="65" t="s">
        <v>40</v>
      </c>
      <c r="D10" s="65" t="s">
        <v>41</v>
      </c>
      <c r="E10" s="67" t="s">
        <v>121</v>
      </c>
      <c r="F10" s="67" t="s">
        <v>10</v>
      </c>
    </row>
    <row r="11" spans="1:6" ht="27" customHeight="1" x14ac:dyDescent="0.25">
      <c r="A11" s="15">
        <v>1</v>
      </c>
      <c r="B11" s="91" t="s">
        <v>365</v>
      </c>
      <c r="C11" s="15" t="s">
        <v>218</v>
      </c>
      <c r="D11" s="15">
        <v>2000</v>
      </c>
      <c r="E11" s="68">
        <v>1500</v>
      </c>
      <c r="F11" s="68">
        <f>E11*D11</f>
        <v>3000000</v>
      </c>
    </row>
    <row r="12" spans="1:6" x14ac:dyDescent="0.25">
      <c r="A12">
        <v>2</v>
      </c>
      <c r="B12" t="s">
        <v>366</v>
      </c>
      <c r="C12" t="s">
        <v>52</v>
      </c>
      <c r="F12" s="26">
        <v>5000000</v>
      </c>
    </row>
    <row r="15" spans="1:6" ht="21" customHeight="1" x14ac:dyDescent="0.35">
      <c r="B15" s="41" t="s">
        <v>236</v>
      </c>
      <c r="F15" s="34">
        <f>SUM(F11:F12)</f>
        <v>8000000</v>
      </c>
    </row>
    <row r="20" spans="2:2" x14ac:dyDescent="0.25">
      <c r="B20" t="s">
        <v>117</v>
      </c>
    </row>
    <row r="21" spans="2:2" x14ac:dyDescent="0.25">
      <c r="B21" t="s">
        <v>118</v>
      </c>
    </row>
    <row r="22" spans="2:2" x14ac:dyDescent="0.25">
      <c r="B22" t="s">
        <v>119</v>
      </c>
    </row>
    <row r="24" spans="2:2" x14ac:dyDescent="0.25">
      <c r="B24" t="s">
        <v>120</v>
      </c>
    </row>
  </sheetData>
  <mergeCells count="1">
    <mergeCell ref="A1:E1"/>
  </mergeCells>
  <pageMargins left="0.3" right="0.3" top="0.5" bottom="0.5" header="0.3" footer="0.3"/>
  <pageSetup paperSize="9" scale="91" fitToHeight="0" orientation="landscape" horizontalDpi="4294967292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2"/>
  <sheetViews>
    <sheetView workbookViewId="0"/>
  </sheetViews>
  <sheetFormatPr baseColWidth="10" defaultColWidth="9.140625" defaultRowHeight="15" x14ac:dyDescent="0.25"/>
  <sheetData>
    <row r="1" spans="1:6" x14ac:dyDescent="0.25">
      <c r="A1" t="s">
        <v>8</v>
      </c>
      <c r="B1" t="s">
        <v>239</v>
      </c>
      <c r="C1" t="s">
        <v>43</v>
      </c>
      <c r="D1" t="s">
        <v>45</v>
      </c>
      <c r="E1" t="s">
        <v>46</v>
      </c>
      <c r="F1" t="s">
        <v>240</v>
      </c>
    </row>
    <row r="2" spans="1:6" x14ac:dyDescent="0.25">
      <c r="A2" t="s">
        <v>12</v>
      </c>
      <c r="B2" t="s">
        <v>241</v>
      </c>
      <c r="C2">
        <v>14030000</v>
      </c>
      <c r="D2">
        <v>4729920</v>
      </c>
      <c r="E2">
        <v>9300080</v>
      </c>
      <c r="F2">
        <v>66.3</v>
      </c>
    </row>
    <row r="3" spans="1:6" x14ac:dyDescent="0.25">
      <c r="A3" t="s">
        <v>242</v>
      </c>
      <c r="B3" t="s">
        <v>243</v>
      </c>
      <c r="C3">
        <v>5216000</v>
      </c>
      <c r="D3">
        <v>2071429</v>
      </c>
      <c r="E3">
        <v>3144571</v>
      </c>
      <c r="F3">
        <v>60.3</v>
      </c>
    </row>
    <row r="4" spans="1:6" x14ac:dyDescent="0.25">
      <c r="A4" t="s">
        <v>244</v>
      </c>
      <c r="B4" t="s">
        <v>245</v>
      </c>
      <c r="C4">
        <v>2086400</v>
      </c>
      <c r="D4">
        <v>828571</v>
      </c>
      <c r="E4">
        <v>1257829</v>
      </c>
      <c r="F4">
        <v>60.3</v>
      </c>
    </row>
    <row r="11" spans="1:6" x14ac:dyDescent="0.25">
      <c r="A11" t="s">
        <v>246</v>
      </c>
      <c r="B11" t="s">
        <v>247</v>
      </c>
      <c r="C11">
        <v>6895000</v>
      </c>
      <c r="D11">
        <v>4410000</v>
      </c>
      <c r="E11">
        <v>2485000</v>
      </c>
      <c r="F11">
        <v>36</v>
      </c>
    </row>
    <row r="12" spans="1:6" x14ac:dyDescent="0.25">
      <c r="A12" t="s">
        <v>248</v>
      </c>
      <c r="B12" t="s">
        <v>249</v>
      </c>
      <c r="C12">
        <v>2200000</v>
      </c>
      <c r="D12">
        <v>0</v>
      </c>
      <c r="E12">
        <v>2200000</v>
      </c>
      <c r="F12">
        <v>100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23</vt:i4>
      </vt:variant>
    </vt:vector>
  </HeadingPairs>
  <TitlesOfParts>
    <vt:vector size="23" baseType="lpstr">
      <vt:lpstr>Page de garde</vt:lpstr>
      <vt:lpstr>SOMMAIRE</vt:lpstr>
      <vt:lpstr>RÉCAP </vt:lpstr>
      <vt:lpstr>Lot 1</vt:lpstr>
      <vt:lpstr>Lot 2</vt:lpstr>
      <vt:lpstr>Lot 3</vt:lpstr>
      <vt:lpstr>Lot 4</vt:lpstr>
      <vt:lpstr>Lot 5</vt:lpstr>
      <vt:lpstr>Lot 6</vt:lpstr>
      <vt:lpstr>Lot 7</vt:lpstr>
      <vt:lpstr>Lot 8</vt:lpstr>
      <vt:lpstr>Lot 9</vt:lpstr>
      <vt:lpstr>Lot 10</vt:lpstr>
      <vt:lpstr>Lot 11</vt:lpstr>
      <vt:lpstr>Lot 12</vt:lpstr>
      <vt:lpstr>Lot 13</vt:lpstr>
      <vt:lpstr>Lot 14</vt:lpstr>
      <vt:lpstr>Lot 15</vt:lpstr>
      <vt:lpstr>Lot 16</vt:lpstr>
      <vt:lpstr>Lot 17</vt:lpstr>
      <vt:lpstr>Lot 18</vt:lpstr>
      <vt:lpstr>Lot 19</vt:lpstr>
      <vt:lpstr>RÉCAP LOCAL vs CHINE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paterne gankama</cp:lastModifiedBy>
  <cp:lastPrinted>2025-11-23T10:24:19Z</cp:lastPrinted>
  <dcterms:created xsi:type="dcterms:W3CDTF">2025-10-23T06:17:31Z</dcterms:created>
  <dcterms:modified xsi:type="dcterms:W3CDTF">2025-12-13T10:25:34Z</dcterms:modified>
</cp:coreProperties>
</file>