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ffrey\Documents\SKETCHUP\PROJET CENTRE MEDICAL3\BUSINESS PLAN\Business plan\Devis\DQE\"/>
    </mc:Choice>
  </mc:AlternateContent>
  <xr:revisionPtr revIDLastSave="0" documentId="8_{0E662CFE-A224-48B1-A26A-2AEA5825AA57}" xr6:coauthVersionLast="47" xr6:coauthVersionMax="47" xr10:uidLastSave="{00000000-0000-0000-0000-000000000000}"/>
  <bookViews>
    <workbookView xWindow="-120" yWindow="-120" windowWidth="29040" windowHeight="15840" tabRatio="751" firstSheet="2" activeTab="9" xr2:uid="{00000000-000D-0000-FFFF-FFFF00000000}"/>
  </bookViews>
  <sheets>
    <sheet name="Page de garde" sheetId="1" r:id="rId1"/>
    <sheet name="SOMMAIRE" sheetId="2" r:id="rId2"/>
    <sheet name="RÉCAP TTC" sheetId="3" r:id="rId3"/>
    <sheet name="Lot 1" sheetId="4" r:id="rId4"/>
    <sheet name="Lot 1_PHASE1" sheetId="23" r:id="rId5"/>
    <sheet name="Lot 2" sheetId="13" r:id="rId6"/>
    <sheet name="Lot 3" sheetId="5" r:id="rId7"/>
    <sheet name="Lot 4" sheetId="6" r:id="rId8"/>
    <sheet name="Lot 5" sheetId="15" r:id="rId9"/>
    <sheet name="Lot 6" sheetId="16" r:id="rId10"/>
    <sheet name="Lot 7 PHASE 1" sheetId="22" r:id="rId11"/>
    <sheet name="Lot 7" sheetId="8" r:id="rId12"/>
    <sheet name="Lot 8" sheetId="9" r:id="rId13"/>
    <sheet name="Lot 9" sheetId="10" r:id="rId14"/>
    <sheet name="Lot 10" sheetId="11" r:id="rId15"/>
    <sheet name="Lot 11" sheetId="25" r:id="rId16"/>
    <sheet name="Lot 10_Bis" sheetId="12" r:id="rId17"/>
    <sheet name="Lot 12" sheetId="17" r:id="rId18"/>
    <sheet name="Lot 13" sheetId="18" r:id="rId19"/>
    <sheet name="Lot 14" sheetId="19" r:id="rId20"/>
    <sheet name="Lot 15" sheetId="20" r:id="rId21"/>
    <sheet name="Lot 16" sheetId="21" r:id="rId22"/>
    <sheet name="Lot 17" sheetId="24" r:id="rId23"/>
    <sheet name="Lot 18" sheetId="27" r:id="rId24"/>
    <sheet name="Lot 19" sheetId="28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F15" i="28"/>
  <c r="F11" i="28"/>
  <c r="F11" i="21"/>
  <c r="F12" i="21"/>
  <c r="F13" i="21"/>
  <c r="F10" i="21"/>
  <c r="F16" i="15"/>
  <c r="F11" i="15"/>
  <c r="F10" i="15"/>
  <c r="F11" i="24"/>
  <c r="F13" i="24" s="1"/>
  <c r="F18" i="19"/>
  <c r="F12" i="19"/>
  <c r="F18" i="25"/>
  <c r="F14" i="25"/>
  <c r="F13" i="25"/>
  <c r="F13" i="20"/>
  <c r="F14" i="20"/>
  <c r="F15" i="20"/>
  <c r="F16" i="20"/>
  <c r="F12" i="20"/>
  <c r="D22" i="3" a="1"/>
  <c r="D22" i="3" l="1"/>
  <c r="F17" i="21"/>
  <c r="F19" i="20"/>
  <c r="F10" i="17"/>
  <c r="F13" i="10"/>
  <c r="F12" i="10"/>
  <c r="F16" i="10" s="1"/>
  <c r="F11" i="9"/>
  <c r="F12" i="9"/>
  <c r="F13" i="9"/>
  <c r="F14" i="9"/>
  <c r="F15" i="9"/>
  <c r="F10" i="9"/>
  <c r="F18" i="9" s="1"/>
  <c r="F62" i="11" l="1"/>
  <c r="F68" i="11"/>
  <c r="F54" i="11"/>
  <c r="G63" i="12"/>
  <c r="F59" i="12"/>
  <c r="F61" i="11"/>
  <c r="F58" i="12"/>
  <c r="H58" i="12" s="1"/>
  <c r="F60" i="11"/>
  <c r="G57" i="12"/>
  <c r="F53" i="12"/>
  <c r="F53" i="11"/>
  <c r="G52" i="12"/>
  <c r="F45" i="12"/>
  <c r="F46" i="12"/>
  <c r="F47" i="12"/>
  <c r="F48" i="12"/>
  <c r="F45" i="11"/>
  <c r="F46" i="11"/>
  <c r="F47" i="11"/>
  <c r="F48" i="11"/>
  <c r="F44" i="12"/>
  <c r="F44" i="11"/>
  <c r="G43" i="12"/>
  <c r="F37" i="12"/>
  <c r="F38" i="12"/>
  <c r="F39" i="12"/>
  <c r="F37" i="11"/>
  <c r="F38" i="11"/>
  <c r="F39" i="11"/>
  <c r="F36" i="12"/>
  <c r="H36" i="12" s="1"/>
  <c r="F36" i="11"/>
  <c r="F40" i="11" s="1"/>
  <c r="F7" i="12"/>
  <c r="F8" i="12"/>
  <c r="F9" i="12"/>
  <c r="F10" i="12"/>
  <c r="F11" i="12"/>
  <c r="F12" i="12"/>
  <c r="H12" i="12" s="1"/>
  <c r="F13" i="12"/>
  <c r="H13" i="12" s="1"/>
  <c r="F14" i="12"/>
  <c r="H14" i="12" s="1"/>
  <c r="F15" i="12"/>
  <c r="F16" i="12"/>
  <c r="F17" i="12"/>
  <c r="F18" i="12"/>
  <c r="H18" i="12" s="1"/>
  <c r="F19" i="12"/>
  <c r="H19" i="12" s="1"/>
  <c r="F20" i="12"/>
  <c r="H20" i="12" s="1"/>
  <c r="F21" i="12"/>
  <c r="F22" i="12"/>
  <c r="F23" i="12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6" i="12"/>
  <c r="F13" i="11"/>
  <c r="F31" i="11" s="1"/>
  <c r="H60" i="12"/>
  <c r="G60" i="12"/>
  <c r="H59" i="12"/>
  <c r="G59" i="12"/>
  <c r="G58" i="12"/>
  <c r="H53" i="12"/>
  <c r="G53" i="12"/>
  <c r="H52" i="12"/>
  <c r="H47" i="12"/>
  <c r="G47" i="12"/>
  <c r="H46" i="12"/>
  <c r="G46" i="12"/>
  <c r="H41" i="12"/>
  <c r="G41" i="12"/>
  <c r="G36" i="12"/>
  <c r="H35" i="12"/>
  <c r="G35" i="12"/>
  <c r="H34" i="12"/>
  <c r="G34" i="12"/>
  <c r="H33" i="12"/>
  <c r="G33" i="12"/>
  <c r="H28" i="12"/>
  <c r="G28" i="12"/>
  <c r="H27" i="12"/>
  <c r="G27" i="12"/>
  <c r="H26" i="12"/>
  <c r="G26" i="12"/>
  <c r="H25" i="12"/>
  <c r="G25" i="12"/>
  <c r="G20" i="12"/>
  <c r="G19" i="12"/>
  <c r="G18" i="12"/>
  <c r="H17" i="12"/>
  <c r="G17" i="12"/>
  <c r="H16" i="12"/>
  <c r="G16" i="12"/>
  <c r="H15" i="12"/>
  <c r="G15" i="12"/>
  <c r="G14" i="12"/>
  <c r="G13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D21" i="3" a="1"/>
  <c r="F49" i="11" l="1"/>
  <c r="D21" i="3"/>
  <c r="H63" i="12" l="1"/>
  <c r="D20" i="3" a="1"/>
  <c r="D20" i="3" l="1"/>
  <c r="F16" i="18" l="1"/>
  <c r="F15" i="18"/>
  <c r="D17" i="3" a="1"/>
  <c r="D18" i="3" a="1"/>
  <c r="D8" i="3" a="1"/>
  <c r="D13" i="3" a="1"/>
  <c r="D9" i="3" a="1"/>
  <c r="D12" i="3" a="1"/>
  <c r="D15" i="3" a="1"/>
  <c r="D14" i="3" a="1"/>
  <c r="D19" i="3" a="1"/>
  <c r="D16" i="3" a="1"/>
  <c r="D9" i="3" l="1"/>
  <c r="D15" i="3"/>
  <c r="D13" i="3"/>
  <c r="D12" i="3"/>
  <c r="D14" i="3"/>
  <c r="D19" i="3"/>
  <c r="D18" i="3"/>
  <c r="D17" i="3"/>
  <c r="D16" i="3"/>
  <c r="D8" i="3"/>
  <c r="F16" i="13"/>
  <c r="F64" i="4" l="1"/>
  <c r="F65" i="4"/>
  <c r="F66" i="4"/>
  <c r="F67" i="4"/>
  <c r="F68" i="4"/>
  <c r="F69" i="4"/>
  <c r="F70" i="4"/>
  <c r="F71" i="4"/>
  <c r="F72" i="4"/>
  <c r="F73" i="4"/>
  <c r="F57" i="4"/>
  <c r="F58" i="4"/>
  <c r="F59" i="4"/>
  <c r="F60" i="4"/>
  <c r="F61" i="4"/>
  <c r="F62" i="4"/>
  <c r="F63" i="4"/>
  <c r="F49" i="4"/>
  <c r="F50" i="4"/>
  <c r="F48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31" i="4"/>
  <c r="F27" i="4"/>
  <c r="F28" i="4" s="1"/>
  <c r="F17" i="4"/>
  <c r="F16" i="4"/>
  <c r="F20" i="5"/>
  <c r="F15" i="5"/>
  <c r="F22" i="5" s="1"/>
  <c r="F72" i="23"/>
  <c r="F48" i="23"/>
  <c r="F38" i="23"/>
  <c r="F39" i="23"/>
  <c r="F40" i="23"/>
  <c r="F41" i="23"/>
  <c r="F25" i="23"/>
  <c r="F19" i="23"/>
  <c r="F78" i="22"/>
  <c r="F77" i="22"/>
  <c r="F76" i="22"/>
  <c r="F75" i="22"/>
  <c r="F72" i="22"/>
  <c r="F73" i="22" s="1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1" i="22"/>
  <c r="F40" i="22"/>
  <c r="F38" i="22"/>
  <c r="F37" i="22"/>
  <c r="F36" i="22"/>
  <c r="F35" i="22"/>
  <c r="F34" i="22"/>
  <c r="F33" i="22"/>
  <c r="F32" i="22"/>
  <c r="F31" i="22"/>
  <c r="F30" i="22"/>
  <c r="F27" i="22"/>
  <c r="F26" i="22"/>
  <c r="F28" i="22" s="1"/>
  <c r="F23" i="22"/>
  <c r="F22" i="22"/>
  <c r="F21" i="22"/>
  <c r="F20" i="22"/>
  <c r="F19" i="22"/>
  <c r="F18" i="22"/>
  <c r="F17" i="22"/>
  <c r="F16" i="22"/>
  <c r="F15" i="22"/>
  <c r="F14" i="22"/>
  <c r="F13" i="22"/>
  <c r="F77" i="8"/>
  <c r="F78" i="8"/>
  <c r="F79" i="8"/>
  <c r="F76" i="8"/>
  <c r="F81" i="8" s="1"/>
  <c r="F69" i="8"/>
  <c r="F68" i="8"/>
  <c r="F66" i="8"/>
  <c r="F64" i="8"/>
  <c r="F65" i="8"/>
  <c r="F42" i="8"/>
  <c r="F39" i="8"/>
  <c r="F38" i="8"/>
  <c r="F34" i="8"/>
  <c r="F35" i="8"/>
  <c r="F32" i="8"/>
  <c r="F33" i="8"/>
  <c r="F90" i="8"/>
  <c r="F83" i="8"/>
  <c r="F84" i="8" s="1"/>
  <c r="F27" i="8"/>
  <c r="F28" i="8"/>
  <c r="D5" i="3" a="1"/>
  <c r="D6" i="3" a="1"/>
  <c r="F80" i="22" l="1"/>
  <c r="F42" i="23"/>
  <c r="F74" i="23" s="1"/>
  <c r="F70" i="22"/>
  <c r="F24" i="22"/>
  <c r="F42" i="22"/>
  <c r="F75" i="4"/>
  <c r="F51" i="4"/>
  <c r="F45" i="4"/>
  <c r="D6" i="3"/>
  <c r="D5" i="3"/>
  <c r="F22" i="4"/>
  <c r="F29" i="8"/>
  <c r="D3" i="3" a="1"/>
  <c r="D4" i="3" a="1"/>
  <c r="F84" i="22" l="1"/>
  <c r="D4" i="3"/>
  <c r="D3" i="3"/>
  <c r="F73" i="8"/>
  <c r="F74" i="8" s="1"/>
  <c r="F59" i="8"/>
  <c r="F60" i="8"/>
  <c r="F61" i="8"/>
  <c r="F62" i="8"/>
  <c r="F63" i="8"/>
  <c r="D10" i="3" a="1"/>
  <c r="D10" i="3" l="1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67" i="8"/>
  <c r="F45" i="8"/>
  <c r="F36" i="8"/>
  <c r="F37" i="8"/>
  <c r="F41" i="8"/>
  <c r="F31" i="8"/>
  <c r="F15" i="8"/>
  <c r="F16" i="8"/>
  <c r="F17" i="8"/>
  <c r="F18" i="8"/>
  <c r="F19" i="8"/>
  <c r="F20" i="8"/>
  <c r="F21" i="8"/>
  <c r="F22" i="8"/>
  <c r="F23" i="8"/>
  <c r="F24" i="8"/>
  <c r="F14" i="8"/>
  <c r="E28" i="6"/>
  <c r="G28" i="6" s="1"/>
  <c r="I28" i="6" s="1"/>
  <c r="E27" i="6"/>
  <c r="G27" i="6" s="1"/>
  <c r="I27" i="6" s="1"/>
  <c r="E12" i="6"/>
  <c r="G12" i="6" s="1"/>
  <c r="I12" i="6" s="1"/>
  <c r="E13" i="6"/>
  <c r="E14" i="6"/>
  <c r="G14" i="6" s="1"/>
  <c r="I14" i="6" s="1"/>
  <c r="E15" i="6"/>
  <c r="G15" i="6" s="1"/>
  <c r="I15" i="6" s="1"/>
  <c r="E16" i="6"/>
  <c r="G16" i="6" s="1"/>
  <c r="I16" i="6" s="1"/>
  <c r="E17" i="6"/>
  <c r="G17" i="6" s="1"/>
  <c r="E18" i="6"/>
  <c r="G18" i="6" s="1"/>
  <c r="E19" i="6"/>
  <c r="G19" i="6" s="1"/>
  <c r="E20" i="6"/>
  <c r="G20" i="6" s="1"/>
  <c r="I20" i="6" s="1"/>
  <c r="E21" i="6"/>
  <c r="G21" i="6" s="1"/>
  <c r="I21" i="6" s="1"/>
  <c r="E22" i="6"/>
  <c r="G22" i="6" s="1"/>
  <c r="I22" i="6" s="1"/>
  <c r="E23" i="6"/>
  <c r="G23" i="6" s="1"/>
  <c r="I23" i="6" s="1"/>
  <c r="E24" i="6"/>
  <c r="G24" i="6" s="1"/>
  <c r="I24" i="6" s="1"/>
  <c r="E25" i="6"/>
  <c r="G25" i="6" s="1"/>
  <c r="I25" i="6" s="1"/>
  <c r="E26" i="6"/>
  <c r="G26" i="6" s="1"/>
  <c r="I26" i="6" s="1"/>
  <c r="G13" i="6"/>
  <c r="I13" i="6" s="1"/>
  <c r="E11" i="6"/>
  <c r="G11" i="6" s="1"/>
  <c r="I11" i="6" s="1"/>
  <c r="D11" i="3" a="1"/>
  <c r="F43" i="8" l="1"/>
  <c r="D11" i="3"/>
  <c r="F71" i="8"/>
  <c r="F25" i="8"/>
  <c r="I18" i="6"/>
  <c r="I17" i="6"/>
  <c r="I19" i="6"/>
  <c r="F31" i="6" l="1"/>
  <c r="F92" i="8"/>
  <c r="D7" i="3" a="1"/>
  <c r="D7" i="3" l="1"/>
  <c r="D26" i="3" s="1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<sst xmlns="http://schemas.openxmlformats.org/spreadsheetml/2006/main" count="1476" uniqueCount="522">
  <si>
    <t>DQE – Pointe-Noire Medical Center</t>
  </si>
  <si>
    <t>Document confidentiel – usage interne</t>
  </si>
  <si>
    <t>SOMMAIRE DQE – Pointe-Noire Medical Center</t>
  </si>
  <si>
    <t>Lot + Nom du lot</t>
  </si>
  <si>
    <t>Accès</t>
  </si>
  <si>
    <t>Lot 1 – Terrassement &amp; Gros Œuvre</t>
  </si>
  <si>
    <t>Lot 2 – À compléter</t>
  </si>
  <si>
    <t>Lot 3 – Revêtements sols &amp; murs</t>
  </si>
  <si>
    <t>Lot 6A – Menuiserie aluminium</t>
  </si>
  <si>
    <t>Lot 6B – Bardage Alucobond</t>
  </si>
  <si>
    <t>Lot 7 – Électricité</t>
  </si>
  <si>
    <t>Lot 8 – Climatisation</t>
  </si>
  <si>
    <t>Lot 9 – Plomberie / Sanitaires</t>
  </si>
  <si>
    <t>Lot 11 – Sécurité incendie</t>
  </si>
  <si>
    <t>Lot 12 – À compléter</t>
  </si>
  <si>
    <t>Lot 13 – À compléter</t>
  </si>
  <si>
    <t>Lot 14 – À compléter</t>
  </si>
  <si>
    <t>Lot 15 – À compléter</t>
  </si>
  <si>
    <t>Lot 16 – À compléter</t>
  </si>
  <si>
    <t>Récapitulatif TTC</t>
  </si>
  <si>
    <t>Lot</t>
  </si>
  <si>
    <t>Libellé</t>
  </si>
  <si>
    <t>Total TTC (FCFA)</t>
  </si>
  <si>
    <t>Lot 1</t>
  </si>
  <si>
    <t>Terrassement &amp; Gros Œuvre</t>
  </si>
  <si>
    <t>Lot 2</t>
  </si>
  <si>
    <t>Lot 3</t>
  </si>
  <si>
    <t>Revêtements sols &amp; murs</t>
  </si>
  <si>
    <t>Lot 4</t>
  </si>
  <si>
    <t>Lot 5</t>
  </si>
  <si>
    <t>Lot 6</t>
  </si>
  <si>
    <t>Électricité</t>
  </si>
  <si>
    <t>Lot 8</t>
  </si>
  <si>
    <t>Climatisation</t>
  </si>
  <si>
    <t>Lot 9</t>
  </si>
  <si>
    <t>Plomberie / Sanitaires</t>
  </si>
  <si>
    <t>Lot 10</t>
  </si>
  <si>
    <t>Peinture</t>
  </si>
  <si>
    <t>Lot 11</t>
  </si>
  <si>
    <t>Sécurité incendie</t>
  </si>
  <si>
    <t>Lot 12</t>
  </si>
  <si>
    <t>Lot 13</t>
  </si>
  <si>
    <t>Lot 14</t>
  </si>
  <si>
    <t>Lot 15</t>
  </si>
  <si>
    <t>Lot 16</t>
  </si>
  <si>
    <t>TOTAL GÉNÉRAL TTC</t>
  </si>
  <si>
    <t>LOT 1 – Terrassement &amp; Gros Œuvre (TTC)</t>
  </si>
  <si>
    <t>N°</t>
  </si>
  <si>
    <t>Désignation</t>
  </si>
  <si>
    <t>Unité</t>
  </si>
  <si>
    <t>Quantité</t>
  </si>
  <si>
    <t>PU TTC (FCFA)</t>
  </si>
  <si>
    <t>A – INSTALLATION GÉNÉRALE DU CHANTIER</t>
  </si>
  <si>
    <t>1.1</t>
  </si>
  <si>
    <t>Mobilisation du personnel et du matériel</t>
  </si>
  <si>
    <t>Ens</t>
  </si>
  <si>
    <t>1.2</t>
  </si>
  <si>
    <t>Clôture provisoire du chantier en tôles</t>
  </si>
  <si>
    <t>1.3</t>
  </si>
  <si>
    <t>Consommation en eau et électricité du chantier</t>
  </si>
  <si>
    <t>MOA</t>
  </si>
  <si>
    <t>1.4</t>
  </si>
  <si>
    <t>Immobilisation de l’échafaudage préfabriqué</t>
  </si>
  <si>
    <t>m²</t>
  </si>
  <si>
    <t>1.5</t>
  </si>
  <si>
    <t>Gardiennage et HSE du chantier</t>
  </si>
  <si>
    <t>1.6</t>
  </si>
  <si>
    <t>Études techniques et essais (tests de conformité)</t>
  </si>
  <si>
    <t>Sous-total A</t>
  </si>
  <si>
    <t>B – DÉMOLITION</t>
  </si>
  <si>
    <t>1.7</t>
  </si>
  <si>
    <t>Démolition des murs et de l’escalier (RDC)</t>
  </si>
  <si>
    <t>FF</t>
  </si>
  <si>
    <t>1.8</t>
  </si>
  <si>
    <t>Évacuation des gravats hors site</t>
  </si>
  <si>
    <t>1.9</t>
  </si>
  <si>
    <t>Décapage carreaux sol existant (RDC)</t>
  </si>
  <si>
    <t>Sous-total B</t>
  </si>
  <si>
    <t>C – FONDATIONS – BÂTIMENT PRINCIPAL</t>
  </si>
  <si>
    <t>1.10</t>
  </si>
  <si>
    <t>Semelles isolées (Béton)</t>
  </si>
  <si>
    <t>m³</t>
  </si>
  <si>
    <t>1.11</t>
  </si>
  <si>
    <t>Semelles isolées – Béton 400 HY</t>
  </si>
  <si>
    <t>1.12</t>
  </si>
  <si>
    <t>Semelles isolées – Coffrage</t>
  </si>
  <si>
    <t>1.13</t>
  </si>
  <si>
    <t>Semelles isolées – Acier</t>
  </si>
  <si>
    <t>kg</t>
  </si>
  <si>
    <t>1.14</t>
  </si>
  <si>
    <t>Amorces de poteau – Béton 400 HY</t>
  </si>
  <si>
    <t>1.15</t>
  </si>
  <si>
    <t>Amorces de poteau – Coffrage</t>
  </si>
  <si>
    <t>1.16</t>
  </si>
  <si>
    <t>Amorces de poteau – Acier</t>
  </si>
  <si>
    <t>1.17</t>
  </si>
  <si>
    <t>Longrines – Béton 400 HY</t>
  </si>
  <si>
    <t>1.18</t>
  </si>
  <si>
    <t>Longrines – Coffrage</t>
  </si>
  <si>
    <t>1.19</t>
  </si>
  <si>
    <t>Longrines – Acier</t>
  </si>
  <si>
    <t>1.20</t>
  </si>
  <si>
    <t>Dallage sol (Bâtiment principal) – Béton</t>
  </si>
  <si>
    <t>1.21</t>
  </si>
  <si>
    <t>Dallage sol (Bâtiment principal) – Coffrage</t>
  </si>
  <si>
    <t>1.22</t>
  </si>
  <si>
    <t>Dallage sol (Bâtiment principal) – Acier</t>
  </si>
  <si>
    <t>1.23</t>
  </si>
  <si>
    <t>Maçonnerie de soubassement agglos pleins 20×20×50</t>
  </si>
  <si>
    <t>C – FONDATIONS – BÂTIMENT ANNEXE</t>
  </si>
  <si>
    <t>1.24</t>
  </si>
  <si>
    <t>Dallage sol (Bâtiment annexe) – Béton</t>
  </si>
  <si>
    <t>1.25</t>
  </si>
  <si>
    <t>Dallage sol (Bâtiment annexe) – Coffrage</t>
  </si>
  <si>
    <t>1.26</t>
  </si>
  <si>
    <t>Dallage sol (Bâtiment annexe) – Acier</t>
  </si>
  <si>
    <t>D – ÉLÉVATION RDC</t>
  </si>
  <si>
    <t>1.27</t>
  </si>
  <si>
    <t>Escalier BA – Béton 350</t>
  </si>
  <si>
    <t>1.28</t>
  </si>
  <si>
    <t>Escalier BA – Coffrage</t>
  </si>
  <si>
    <t>1.29</t>
  </si>
  <si>
    <t>Escalier BA – Acier</t>
  </si>
  <si>
    <t>1.30</t>
  </si>
  <si>
    <t>Plancher hourdis creux – Béton 350</t>
  </si>
  <si>
    <t>1.31</t>
  </si>
  <si>
    <t>Plancher hourdis creux – Hourdis</t>
  </si>
  <si>
    <t>1.32</t>
  </si>
  <si>
    <t>Plancher hourdis creux – Coffrage</t>
  </si>
  <si>
    <t>1.33</t>
  </si>
  <si>
    <t>Plancher hourdis creux – Acier</t>
  </si>
  <si>
    <t>1.34</t>
  </si>
  <si>
    <t>Maçonnerie – Agglos creux 20×20×50</t>
  </si>
  <si>
    <t>1.35</t>
  </si>
  <si>
    <t>Enduits intérieurs et extérieurs sur murs</t>
  </si>
  <si>
    <t>1.36</t>
  </si>
  <si>
    <t>Enduits sous plafond</t>
  </si>
  <si>
    <t>1.37</t>
  </si>
  <si>
    <t>Réservations et calfeutrements divers</t>
  </si>
  <si>
    <t>1.38</t>
  </si>
  <si>
    <t>Scellements et raccordements</t>
  </si>
  <si>
    <t>1.39</t>
  </si>
  <si>
    <t>Marches d’accès – Béton 350</t>
  </si>
  <si>
    <t>1.40</t>
  </si>
  <si>
    <t>Marches d’accès – Coffrage</t>
  </si>
  <si>
    <t>1.41</t>
  </si>
  <si>
    <t>Linteaux (annexe) – Béton 400</t>
  </si>
  <si>
    <t>1.42</t>
  </si>
  <si>
    <t>Linteaux (annexe) – Coffrage</t>
  </si>
  <si>
    <t>1.43</t>
  </si>
  <si>
    <t>Linteaux (annexe) – Acier</t>
  </si>
  <si>
    <t>1.44</t>
  </si>
  <si>
    <t>Maçonnerie annexe – Agglos 20×20×50</t>
  </si>
  <si>
    <t>1.45</t>
  </si>
  <si>
    <t>Enduits int./ext. annexe</t>
  </si>
  <si>
    <t>1.46</t>
  </si>
  <si>
    <t>Enduits sous plafond annexe</t>
  </si>
  <si>
    <t>1.47</t>
  </si>
  <si>
    <t>Finition des tableaux</t>
  </si>
  <si>
    <t>Sous-total D</t>
  </si>
  <si>
    <t>TOTAL LOT 1 TTC (Devis ANDRÉS)</t>
  </si>
  <si>
    <t>Validation :</t>
  </si>
  <si>
    <t>Soumissionnaire : ______________________  Cachet __________  Date ___/___/2025</t>
  </si>
  <si>
    <t>Maître d’Ouvrage : ____________________  Cachet __________  Date ___/___/2025</t>
  </si>
  <si>
    <t>DQE - Pointe Noire Medical Center – Document confidentiel – Version interne</t>
  </si>
  <si>
    <t>LOT 3 – Revêtements sols &amp; murs (TTC)</t>
  </si>
  <si>
    <t>3.1</t>
  </si>
  <si>
    <t>Carrelage sol 60×60 – Pose complète</t>
  </si>
  <si>
    <t>3.2</t>
  </si>
  <si>
    <t>Plinthes assorties – Fourniture &amp; pose</t>
  </si>
  <si>
    <t>ml</t>
  </si>
  <si>
    <t>B – BÂTIMENT ANNEXE</t>
  </si>
  <si>
    <t>3.3</t>
  </si>
  <si>
    <t>3.4</t>
  </si>
  <si>
    <t>TOTAL LOT 3 TTC (Devis ANDRÉS)</t>
  </si>
  <si>
    <t>6.1</t>
  </si>
  <si>
    <t>Z .Alu</t>
  </si>
  <si>
    <t>6.2</t>
  </si>
  <si>
    <t>6.3</t>
  </si>
  <si>
    <t>6.4</t>
  </si>
  <si>
    <t>6.5</t>
  </si>
  <si>
    <t>6.6</t>
  </si>
  <si>
    <t>6.7</t>
  </si>
  <si>
    <t>DESIGNATION – L – H – M2 – PRIX/M2 – PRIX UINT – QTY – PRIX TOTAL</t>
  </si>
  <si>
    <t>6.8</t>
  </si>
  <si>
    <t>BAIE VITREE FIXE VITRE TRIPLEX 10MM</t>
  </si>
  <si>
    <t>6.9</t>
  </si>
  <si>
    <t>6.10</t>
  </si>
  <si>
    <t>FENETRES COULISSANTE VITRE TRIPLEX 8MM</t>
  </si>
  <si>
    <t>6.11</t>
  </si>
  <si>
    <t>6.12</t>
  </si>
  <si>
    <t>6.13</t>
  </si>
  <si>
    <t>6.14</t>
  </si>
  <si>
    <t>6.15</t>
  </si>
  <si>
    <t>PORTE OUVRANTE  EN VITRE TRIPLEX 10MM</t>
  </si>
  <si>
    <t>6.16</t>
  </si>
  <si>
    <t>PORTE OUVRANTE EN VITRE TRIPLEX 10MM</t>
  </si>
  <si>
    <t>6.17</t>
  </si>
  <si>
    <t>PORTE EN 2 BATTANTE VITRE SIMPLE</t>
  </si>
  <si>
    <t>6.18</t>
  </si>
  <si>
    <t>PORTE EN 1 BATTANTE VITRE SIMPLE</t>
  </si>
  <si>
    <t>6.19</t>
  </si>
  <si>
    <t>6.20</t>
  </si>
  <si>
    <t>FENETRES COULISSANTE EN TRIPLEX 8MM – _</t>
  </si>
  <si>
    <t>6.21</t>
  </si>
  <si>
    <t>FENETRES COULISSANTE EN TRIPLEX 8MM</t>
  </si>
  <si>
    <t>6.22</t>
  </si>
  <si>
    <t>6.23</t>
  </si>
  <si>
    <t>6.26</t>
  </si>
  <si>
    <t>6.27</t>
  </si>
  <si>
    <t>6.28</t>
  </si>
  <si>
    <t>Route de Tchimbamba en face du Colisée Téléphone : 06 416 55 55/01 519 99 99</t>
  </si>
  <si>
    <t>6.29</t>
  </si>
  <si>
    <t>Centre des Impôts : MPAKA     NIU : P21000000122533F GREDIT DU CONGO :00014 90000249014 /84</t>
  </si>
  <si>
    <t>ALUCOBOND AVEC STRUCTURE ET MONTAGE</t>
  </si>
  <si>
    <t>_</t>
  </si>
  <si>
    <t>7.1</t>
  </si>
  <si>
    <t>U</t>
  </si>
  <si>
    <t>TOTAL LOT 8 TTC</t>
  </si>
  <si>
    <t>TOTAL Lot 5 TTC</t>
  </si>
  <si>
    <t>Lot 6 – (À compléter) (TTC)</t>
  </si>
  <si>
    <t>TOTAL Lot 6 TTC</t>
  </si>
  <si>
    <t>TOTAL Lot 14 TTC</t>
  </si>
  <si>
    <t>TOTAL Lot 15 TTC</t>
  </si>
  <si>
    <t>TOTAL Lot 16 TTC</t>
  </si>
  <si>
    <t>m2</t>
  </si>
  <si>
    <t>P/m2</t>
  </si>
  <si>
    <t>L(mm)</t>
  </si>
  <si>
    <t>H(mm)</t>
  </si>
  <si>
    <t>Surface(m2)</t>
  </si>
  <si>
    <t xml:space="preserve">BAIE VITREE FIXE VITRE TRIPLEX 10MM </t>
  </si>
  <si>
    <t>A – Appareils pour l’éclairage normal</t>
  </si>
  <si>
    <t>Dalle LED 60x60 40W (Luminaire apparent 600x600)</t>
  </si>
  <si>
    <t>7.2</t>
  </si>
  <si>
    <t>Réglette encastrable 60x60 4x14W (Luminaire encastré)</t>
  </si>
  <si>
    <t>7.3</t>
  </si>
  <si>
    <t>Tube fluorescent 18W (Philips)</t>
  </si>
  <si>
    <t>7.4</t>
  </si>
  <si>
    <t>Réglette étanche 2x20W (Luminaire étanche 2x18W)</t>
  </si>
  <si>
    <t>7.5</t>
  </si>
  <si>
    <t>Panel LED 120x30 (Réglette LED 1.20m)</t>
  </si>
  <si>
    <t>7.6</t>
  </si>
  <si>
    <t>Applique sanitaire PC+Int</t>
  </si>
  <si>
    <t>7.7</t>
  </si>
  <si>
    <t>Applique murale (Applique montante)</t>
  </si>
  <si>
    <t>7.8</t>
  </si>
  <si>
    <t>Spot encastrable halogène G5.3</t>
  </si>
  <si>
    <t>7.9</t>
  </si>
  <si>
    <t>Spot LED 18W (Lampe dichroïque)</t>
  </si>
  <si>
    <t>7.10</t>
  </si>
  <si>
    <t>Spot LED 22W (Lampe dichroïque)</t>
  </si>
  <si>
    <t>7.11</t>
  </si>
  <si>
    <t>Spot LED 14W</t>
  </si>
  <si>
    <t>C – Dispositifs de commande</t>
  </si>
  <si>
    <t>7.12</t>
  </si>
  <si>
    <t>7.13</t>
  </si>
  <si>
    <t>7.14</t>
  </si>
  <si>
    <t>7.15</t>
  </si>
  <si>
    <t>Prise de courant étanche</t>
  </si>
  <si>
    <t>D – Câbles, fils et fourreaux</t>
  </si>
  <si>
    <t>7.16</t>
  </si>
  <si>
    <t>7.17</t>
  </si>
  <si>
    <t>7.18</t>
  </si>
  <si>
    <t>7.19</t>
  </si>
  <si>
    <t>7.20</t>
  </si>
  <si>
    <t>7.21</t>
  </si>
  <si>
    <t>7.22</t>
  </si>
  <si>
    <t>Câble U1000R2V 1x95mm² V/J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</si>
  <si>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</si>
  <si>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</si>
  <si>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</si>
  <si>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</si>
  <si>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</si>
  <si>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</si>
  <si>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</si>
  <si>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</si>
  <si>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</si>
  <si>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</si>
  <si>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</si>
  <si>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7.34</t>
  </si>
  <si>
    <t>LOT 8 – Climatisation (TTC)</t>
  </si>
  <si>
    <t xml:space="preserve"> </t>
  </si>
  <si>
    <r>
      <t>ECLISSE CORNIERE GALVA(</t>
    </r>
    <r>
      <rPr>
        <sz val="11"/>
        <color rgb="FF92D050"/>
        <rFont val="Calibri"/>
        <family val="2"/>
        <scheme val="minor"/>
      </rPr>
      <t>Paquet de console CDC 500 galva - 10pcs</t>
    </r>
    <r>
      <rPr>
        <sz val="11"/>
        <color theme="1"/>
        <rFont val="Calibri"/>
        <family val="2"/>
        <scheme val="minor"/>
      </rPr>
      <t>)</t>
    </r>
  </si>
  <si>
    <t>Paquet de console CDC 300 galva - 10pcs</t>
  </si>
  <si>
    <t>Paquet de console CDC 200 galva - 10pcs</t>
  </si>
  <si>
    <t>Paquet de console CDC 100 galva - 10pcs</t>
  </si>
  <si>
    <t>7.35</t>
  </si>
  <si>
    <t>7.36</t>
  </si>
  <si>
    <t>LOT 7 – Électricité – DQE (Quantités DQE + Prix ÉLECTRA)</t>
  </si>
  <si>
    <t>Projet : Pointe-Noire Medical Center</t>
  </si>
  <si>
    <t>Conversion : HT × 1,189 (TVA 18 % + 0,9 %)</t>
  </si>
  <si>
    <t>Gaine ICTA de 20mm - rouleau de 100m</t>
  </si>
  <si>
    <t>Gaine tête de lit</t>
  </si>
  <si>
    <t>Gaine TPC de 110 rouleau de 25M</t>
  </si>
  <si>
    <t>GAINE TPC Ø 110MM ATF ROUGE 25M+MANCHON</t>
  </si>
  <si>
    <t>7.37</t>
  </si>
  <si>
    <t>7.38</t>
  </si>
  <si>
    <t>7.39</t>
  </si>
  <si>
    <t>E - ONDULEURS</t>
  </si>
  <si>
    <t>F – Tableaux et coffrets</t>
  </si>
  <si>
    <t>7.40</t>
  </si>
  <si>
    <t>7.41</t>
  </si>
  <si>
    <t>7.42</t>
  </si>
  <si>
    <t>7.43</t>
  </si>
  <si>
    <t>B - APPAREILS POUR L'ECLAIRAGE DE BALISAGE</t>
  </si>
  <si>
    <t>Bloc autonome d'éclairage de sécurité
étanche type à incandescence autonomie 1h
de LEGRAND ou similaire : Direction</t>
  </si>
  <si>
    <t>Bloc autonome d'éclairage de sécurité                                             
étanche type à incandescence autonomie 1h
de LEGRAND ou similaire : Ambiance</t>
  </si>
  <si>
    <t>⚠ Note</t>
  </si>
  <si>
    <t>PU à verifier</t>
  </si>
  <si>
    <t>7.44</t>
  </si>
  <si>
    <t>7.45</t>
  </si>
  <si>
    <t>G - ÉQUIPEMENTS DE SECOURS</t>
  </si>
  <si>
    <t>Groupe électrogéne insonorisé 60 KVA</t>
  </si>
  <si>
    <t>7.46</t>
  </si>
  <si>
    <t>7.47</t>
  </si>
  <si>
    <t>G - CENTRALE SOLAIRE (Devis ICC)</t>
  </si>
  <si>
    <t>Module photovaltaîque 300Wc/ 24V</t>
  </si>
  <si>
    <t>Batterie gel 200 AH / 12V</t>
  </si>
  <si>
    <t>Onduleur hybrid 12 KVA / 48 VDC</t>
  </si>
  <si>
    <t>Accessoires, raccordement, essai et mise en service</t>
  </si>
  <si>
    <t>7.48</t>
  </si>
  <si>
    <t>7.49</t>
  </si>
  <si>
    <t>7.50</t>
  </si>
  <si>
    <t>Forfait</t>
  </si>
  <si>
    <t>Devis ICC fourniture +pose</t>
  </si>
  <si>
    <t xml:space="preserve">Sous total A </t>
  </si>
  <si>
    <t xml:space="preserve">Sous total B </t>
  </si>
  <si>
    <t xml:space="preserve">Sous total C </t>
  </si>
  <si>
    <t xml:space="preserve">Sous total D </t>
  </si>
  <si>
    <t xml:space="preserve">Sous total E </t>
  </si>
  <si>
    <t xml:space="preserve">Sous total F </t>
  </si>
  <si>
    <t xml:space="preserve">TOTAL LOT 7 – Électricité </t>
  </si>
  <si>
    <t>Inverseur automatique de source triphasé</t>
  </si>
  <si>
    <r>
      <t>Interrupteur simple allumage</t>
    </r>
    <r>
      <rPr>
        <sz val="11"/>
        <color rgb="FF0F1115"/>
        <rFont val="Segoe UI"/>
        <family val="2"/>
      </rPr>
      <t> (PROMOSAIC VA et VIENT 10AX 2m + SUPPORT BATIBOX 1 POSTE 2M + PLAQUE 2M 78802)</t>
    </r>
  </si>
  <si>
    <r>
      <t>Interrupteur va et vient</t>
    </r>
    <r>
      <rPr>
        <sz val="11"/>
        <color rgb="FF0F1115"/>
        <rFont val="Segoe UI"/>
        <family val="2"/>
      </rPr>
      <t> (PROMOSAIC POUS INV 6A VOY 2M + SUPPORT BATIBOX 1 POSTE 2M + PLAQUE 2M 78802)</t>
    </r>
  </si>
  <si>
    <r>
      <t>Bouton poussoire avec témoin</t>
    </r>
    <r>
      <rPr>
        <sz val="11"/>
        <color rgb="FF0F1115"/>
        <rFont val="Segoe UI"/>
        <family val="2"/>
      </rPr>
      <t> (DETECTEUR DE MOUVEMENT ARGUS 110)</t>
    </r>
  </si>
  <si>
    <r>
      <t>Détecteur de presence</t>
    </r>
    <r>
      <rPr>
        <sz val="11"/>
        <color rgb="FF0F1115"/>
        <rFont val="Segoe UI"/>
        <family val="2"/>
      </rPr>
      <t> (INVERSEUR MANUEL 4P 63A PR63)</t>
    </r>
  </si>
  <si>
    <t>Electra </t>
  </si>
  <si>
    <t>DQE </t>
  </si>
  <si>
    <t>DQE (Electra inverseur manuel 4p 63A PR63 269596 FCFA</t>
  </si>
  <si>
    <r>
      <rPr>
        <b/>
        <sz val="12"/>
        <color rgb="FF0F1115"/>
        <rFont val="Segoe UI"/>
        <family val="2"/>
      </rPr>
      <t>Prise de courant mosaïque blanc complet</t>
    </r>
    <r>
      <rPr>
        <sz val="12"/>
        <color rgb="FF0F1115"/>
        <rFont val="Segoe UI"/>
        <family val="2"/>
      </rPr>
      <t xml:space="preserve"> (PROMOSAIC 2P+T 1m + SUPPORT BATIBOX 1 POSTE 2M + PLAQUE 2M 78802)</t>
    </r>
  </si>
  <si>
    <t>Pack Electra</t>
  </si>
  <si>
    <r>
      <rPr>
        <b/>
        <sz val="12"/>
        <color rgb="FF0F1115"/>
        <rFont val="Segoe UI"/>
        <family val="2"/>
      </rPr>
      <t>Prise de courant mosaïque rouge complet</t>
    </r>
    <r>
      <rPr>
        <sz val="12"/>
        <color rgb="FF0F1115"/>
        <rFont val="Segoe UI"/>
        <family val="2"/>
      </rPr>
      <t xml:space="preserve"> (PROMOSAIC 2P+T F/B DETROMPEE + SUPPORT BATIBOX + PLAQUE 2M 78802 + DETROMPEUR)</t>
    </r>
  </si>
  <si>
    <r>
      <rPr>
        <b/>
        <sz val="14"/>
        <color rgb="FF0F1115"/>
        <rFont val="Consolas"/>
        <family val="3"/>
      </rPr>
      <t>Prise réseau</t>
    </r>
    <r>
      <rPr>
        <sz val="10"/>
        <color rgb="FF0F1115"/>
        <rFont val="Consolas"/>
        <family val="3"/>
      </rPr>
      <t xml:space="preserve"> (MOSAIC PRISE RJ45 CAT 6 2M BLANC + SUPPORT BATIBOX + PLAQUE 2M 78802 + ENJ BLANC PRISE TELEPHONE RJ45)</t>
    </r>
  </si>
  <si>
    <r>
      <rPr>
        <b/>
        <sz val="12"/>
        <color rgb="FF0F1115"/>
        <rFont val="Consolas"/>
        <family val="3"/>
      </rPr>
      <t>Prise téléphone</t>
    </r>
    <r>
      <rPr>
        <sz val="10"/>
        <color rgb="FF0F1115"/>
        <rFont val="Consolas"/>
        <family val="3"/>
      </rPr>
      <t xml:space="preserve"> (MOSAIC PRISE RJ45 CAT 6 2M BLANC + SUPPORT BATIBOX + PLAQUE 2M 78802 + ENJ BLANC PRISE TELEPHONE RJ45)</t>
    </r>
  </si>
  <si>
    <r>
      <rPr>
        <b/>
        <sz val="12"/>
        <color rgb="FF0F1115"/>
        <rFont val="Consolas"/>
        <family val="3"/>
      </rPr>
      <t>Prise TV</t>
    </r>
    <r>
      <rPr>
        <sz val="10"/>
        <color rgb="FF0F1115"/>
        <rFont val="Consolas"/>
        <family val="3"/>
      </rPr>
      <t xml:space="preserve"> (PROMOSAIC TV SIMPLE MALE + SUPPORT BATIBOX 1 POSTE 2M + PLAQUE 2M 78802)</t>
    </r>
  </si>
  <si>
    <t>PLEXO- PRISE 2P+TF/B GRIS SAILLIE IP55</t>
  </si>
  <si>
    <t>icc</t>
  </si>
  <si>
    <r>
      <t>**</t>
    </r>
    <r>
      <rPr>
        <b/>
        <sz val="10"/>
        <color rgb="FF0F1115"/>
        <rFont val="Consolas"/>
        <family val="3"/>
      </rPr>
      <t>Onduleur 30KVA</t>
    </r>
    <r>
      <rPr>
        <b/>
        <sz val="10"/>
        <color rgb="FF383A42"/>
        <rFont val="Consolas"/>
        <family val="3"/>
      </rPr>
      <t>**</t>
    </r>
    <r>
      <rPr>
        <sz val="10"/>
        <color rgb="FF0F1115"/>
        <rFont val="Consolas"/>
        <family val="3"/>
      </rPr>
      <t xml:space="preserve"> (ONDULEUR 30KVA Online MGE GALAXY 300 avec Batterie)</t>
    </r>
  </si>
  <si>
    <t>Ensemble accessoires de pose</t>
  </si>
  <si>
    <t>Ensemble prises de terre</t>
  </si>
  <si>
    <r>
      <rPr>
        <b/>
        <sz val="10"/>
        <color rgb="FF0F1115"/>
        <rFont val="Consolas"/>
        <family val="3"/>
      </rPr>
      <t>Gaine ICTA Ø20</t>
    </r>
    <r>
      <rPr>
        <sz val="10"/>
        <color rgb="FF0F1115"/>
        <rFont val="Consolas"/>
        <family val="3"/>
      </rPr>
      <t xml:space="preserve"> (ROULEAU DE GAINE 3422 D 20 - 100M)</t>
    </r>
  </si>
  <si>
    <r>
      <rPr>
        <b/>
        <sz val="10"/>
        <color rgb="FF0F1115"/>
        <rFont val="Consolas"/>
        <family val="3"/>
      </rPr>
      <t>Câble U1000R2V 3G1,5mm²</t>
    </r>
    <r>
      <rPr>
        <sz val="10"/>
        <color rgb="FF0F1115"/>
        <rFont val="Consolas"/>
        <family val="3"/>
      </rPr>
      <t xml:space="preserve"> (CABLE U1000R2V 3G1.5MM² - 100M)</t>
    </r>
  </si>
  <si>
    <r>
      <rPr>
        <b/>
        <sz val="10"/>
        <color rgb="FF0F1115"/>
        <rFont val="Consolas"/>
        <family val="3"/>
      </rPr>
      <t>Câble U1000R2V 3G2,5mm²</t>
    </r>
    <r>
      <rPr>
        <sz val="10"/>
        <color rgb="FF0F1115"/>
        <rFont val="Consolas"/>
        <family val="3"/>
      </rPr>
      <t xml:space="preserve"> (CABLE U1000R2V 3G2.5MM² - 100M)</t>
    </r>
  </si>
  <si>
    <r>
      <rPr>
        <b/>
        <sz val="10"/>
        <color rgb="FF0F1115"/>
        <rFont val="Consolas"/>
        <family val="3"/>
      </rPr>
      <t>Câble U1000R2V 3G6mm²</t>
    </r>
    <r>
      <rPr>
        <sz val="10"/>
        <color rgb="FF0F1115"/>
        <rFont val="Consolas"/>
        <family val="3"/>
      </rPr>
      <t xml:space="preserve"> (CABLE U1000R2V 3G 6MM2)</t>
    </r>
  </si>
  <si>
    <r>
      <rPr>
        <b/>
        <sz val="10"/>
        <color rgb="FF0F1115"/>
        <rFont val="Consolas"/>
        <family val="3"/>
      </rPr>
      <t>Câble U1000R2V 5G10mm²</t>
    </r>
    <r>
      <rPr>
        <sz val="10"/>
        <color rgb="FF0F1115"/>
        <rFont val="Consolas"/>
        <family val="3"/>
      </rPr>
      <t xml:space="preserve"> (CABLE U1000R2V 5G 10MM2)</t>
    </r>
  </si>
  <si>
    <r>
      <rPr>
        <b/>
        <sz val="10"/>
        <color rgb="FF0F1115"/>
        <rFont val="Consolas"/>
        <family val="3"/>
      </rPr>
      <t>Câble U1000R2V 5G25mm²</t>
    </r>
    <r>
      <rPr>
        <sz val="10"/>
        <color rgb="FF0F1115"/>
        <rFont val="Consolas"/>
        <family val="3"/>
      </rPr>
      <t xml:space="preserve"> (CABLE U1000R2V 5G 25MM2)</t>
    </r>
  </si>
  <si>
    <r>
      <rPr>
        <b/>
        <sz val="10"/>
        <color rgb="FF0F1115"/>
        <rFont val="Consolas"/>
        <family val="3"/>
      </rPr>
      <t>Câble U1000R2V 1x120mm²</t>
    </r>
    <r>
      <rPr>
        <sz val="10"/>
        <color rgb="FF0F1115"/>
        <rFont val="Consolas"/>
        <family val="3"/>
      </rPr>
      <t xml:space="preserve"> (CABLE U1000R2V TX 120MM2)</t>
    </r>
  </si>
  <si>
    <r>
      <rPr>
        <b/>
        <sz val="10"/>
        <color rgb="FF0F1115"/>
        <rFont val="Consolas"/>
        <family val="3"/>
      </rPr>
      <t xml:space="preserve">Chemin de câble 500x50x3000 </t>
    </r>
    <r>
      <rPr>
        <sz val="10"/>
        <color rgb="FF0F1115"/>
        <rFont val="Consolas"/>
        <family val="3"/>
      </rPr>
      <t>(CHEMIN DE CABLE GALVA 400X50 GC - 3M)</t>
    </r>
  </si>
  <si>
    <r>
      <rPr>
        <b/>
        <sz val="10"/>
        <color rgb="FF0F1115"/>
        <rFont val="Consolas"/>
        <family val="3"/>
      </rPr>
      <t>Chemin de câble 300x50x3000</t>
    </r>
    <r>
      <rPr>
        <sz val="10"/>
        <color rgb="FF0F1115"/>
        <rFont val="Consolas"/>
        <family val="3"/>
      </rPr>
      <t xml:space="preserve"> (CHEMIN DE CABLE GALVA 316X48 - 3M)</t>
    </r>
  </si>
  <si>
    <r>
      <rPr>
        <b/>
        <sz val="10"/>
        <color rgb="FF0F1115"/>
        <rFont val="Consolas"/>
        <family val="3"/>
      </rPr>
      <t>Chemin de câble 200x50x3000</t>
    </r>
    <r>
      <rPr>
        <sz val="10"/>
        <color rgb="FF0F1115"/>
        <rFont val="Consolas"/>
        <family val="3"/>
      </rPr>
      <t xml:space="preserve"> (CHEMIN DE CABLE GALVA 220X48 - 3M)</t>
    </r>
  </si>
  <si>
    <r>
      <rPr>
        <b/>
        <sz val="10"/>
        <color rgb="FF0F1115"/>
        <rFont val="Consolas"/>
        <family val="3"/>
      </rPr>
      <t>Chemin de câble 100x50x3000</t>
    </r>
    <r>
      <rPr>
        <sz val="10"/>
        <color rgb="FF0F1115"/>
        <rFont val="Consolas"/>
        <family val="3"/>
      </rPr>
      <t xml:space="preserve"> (CHEMIN DE CABLE GALVA 100X48 - 3M)</t>
    </r>
  </si>
  <si>
    <r>
      <rPr>
        <b/>
        <sz val="10"/>
        <color rgb="FF0F1115"/>
        <rFont val="Consolas"/>
        <family val="3"/>
      </rPr>
      <t>Boîtier carré Batibox</t>
    </r>
    <r>
      <rPr>
        <sz val="10"/>
        <color rgb="FF0F1115"/>
        <rFont val="Consolas"/>
        <family val="3"/>
      </rPr>
      <t xml:space="preserve"> (BATIBOX MACONN. 1 POSTE P40mm)</t>
    </r>
  </si>
  <si>
    <r>
      <rPr>
        <b/>
        <sz val="10"/>
        <color rgb="FF0F1115"/>
        <rFont val="Consolas"/>
        <family val="3"/>
      </rPr>
      <t>Boîte dérivation 105x105</t>
    </r>
    <r>
      <rPr>
        <sz val="10"/>
        <color rgb="FF0F1115"/>
        <rFont val="Consolas"/>
        <family val="3"/>
      </rPr>
      <t xml:space="preserve"> (BOITE DERIVATION PLEXO ROUGE 105X105X55mm)</t>
    </r>
  </si>
  <si>
    <r>
      <rPr>
        <b/>
        <sz val="10"/>
        <color rgb="FF0F1115"/>
        <rFont val="Consolas"/>
        <family val="3"/>
      </rPr>
      <t>Boîte dérivation 180x110</t>
    </r>
    <r>
      <rPr>
        <sz val="10"/>
        <color rgb="FF0F1115"/>
        <rFont val="Consolas"/>
        <family val="3"/>
      </rPr>
      <t xml:space="preserve"> (PLEXO BOITE 220X170X80)</t>
    </r>
  </si>
  <si>
    <r>
      <t xml:space="preserve">TGBT précâblé avec toutes sujétions </t>
    </r>
    <r>
      <rPr>
        <sz val="11"/>
        <color rgb="FF0F1115"/>
        <rFont val="Segoe UI"/>
        <family val="2"/>
      </rPr>
      <t>(TGBT Précâblé Electra - Gamme complète)</t>
    </r>
  </si>
  <si>
    <r>
      <t xml:space="preserve">Table de distribution courant normal avec toutes sujétions </t>
    </r>
    <r>
      <rPr>
        <sz val="11"/>
        <color rgb="FF0F1115"/>
        <rFont val="Segoe UI"/>
        <family val="2"/>
      </rPr>
      <t>(COFFRET PRAGMA ENCASTRE 18MODULES 4RANGÉES + PORTE PRA32418)</t>
    </r>
  </si>
  <si>
    <r>
      <t xml:space="preserve">TGDO précâblé avec toutes sujétions </t>
    </r>
    <r>
      <rPr>
        <sz val="11"/>
        <color rgb="FF0F1115"/>
        <rFont val="Segoe UI"/>
        <family val="2"/>
      </rPr>
      <t>(Tableau Onduleur Electra - Configuration spécifique)</t>
    </r>
  </si>
  <si>
    <r>
      <t xml:space="preserve">Table de distribution courant ondulé avec toutes sujétions </t>
    </r>
    <r>
      <rPr>
        <sz val="11"/>
        <color rgb="FF0F1115"/>
        <rFont val="Segoe UI"/>
        <family val="2"/>
      </rPr>
      <t>(COFFRET PRAGMA ENCASTRE 13MODULES 1RANGÉE + PORTE PRA32113)</t>
    </r>
  </si>
  <si>
    <t>7.51</t>
  </si>
  <si>
    <t>7.52</t>
  </si>
  <si>
    <t>7.53</t>
  </si>
  <si>
    <t>7.54</t>
  </si>
  <si>
    <t>7.55</t>
  </si>
  <si>
    <t>7.57</t>
  </si>
  <si>
    <t>7.58</t>
  </si>
  <si>
    <t>7.59</t>
  </si>
  <si>
    <t>7.60</t>
  </si>
  <si>
    <t>Sous-total C – Bât principal</t>
  </si>
  <si>
    <t>Sous-total C – Bât annexe</t>
  </si>
  <si>
    <t>A – Revêtements sols &amp; murs BÂTIMENT PRINCIPAL</t>
  </si>
  <si>
    <t>Lot 5 – Menuserie métallique et ferronnerie</t>
  </si>
  <si>
    <t>Lot 6 – Menuserie bois</t>
  </si>
  <si>
    <t>Lot 4 – -</t>
  </si>
  <si>
    <t xml:space="preserve"> Menuserie métallique et ferronnerie</t>
  </si>
  <si>
    <t>Lot 1_PHASE1 - Terrassement &amp; Gros Œuvre</t>
  </si>
  <si>
    <t>Lot 1_PHASE1</t>
  </si>
  <si>
    <t>Terrassement &amp; Gros Œuvre Phase 1</t>
  </si>
  <si>
    <t>Nettoyage des surfaces et réparation des fissures sur les surfaces</t>
  </si>
  <si>
    <t>Fourniture et application d’étanchéité à 2 composants du type ‘’ADEPROOF’’ (fabriqué en Italie)</t>
  </si>
  <si>
    <t>A</t>
  </si>
  <si>
    <t>TOTAL LOT 2 :</t>
  </si>
  <si>
    <t>TOTAL LOT 4 :</t>
  </si>
  <si>
    <t>LOT 4 – MENUISERIE ALUMINIUM (TTC) – Format DQE</t>
  </si>
  <si>
    <t>BARDAGE  (Revetement batiment)</t>
  </si>
  <si>
    <t>LOT 13 – BARDAGE ALUCOBOND (TTC) – Format DQE</t>
  </si>
  <si>
    <t>TOTAL LOT 13 TTC (Devis ANDRÉS)</t>
  </si>
  <si>
    <t>Lot 7 PHASE 1</t>
  </si>
  <si>
    <t>Panneau solaire</t>
  </si>
  <si>
    <t>Menuserie bois</t>
  </si>
  <si>
    <t>Vidéo surveillance</t>
  </si>
  <si>
    <t>Faux plafond et Cloisons BA13</t>
  </si>
  <si>
    <t>Ascenseur</t>
  </si>
  <si>
    <t>Prestataire</t>
  </si>
  <si>
    <t>Étancheité (Terrasse)</t>
  </si>
  <si>
    <t>Lot 17</t>
  </si>
  <si>
    <t>Groupe eléctrogène</t>
  </si>
  <si>
    <t xml:space="preserve">D.I.P SERVICE  </t>
  </si>
  <si>
    <t>Menuserie aluminium</t>
  </si>
  <si>
    <t>Lot 10 – Plomberie / Sanitaires</t>
  </si>
  <si>
    <t>APPAREILS SANITAIRES</t>
  </si>
  <si>
    <t>Désignation des prestations</t>
  </si>
  <si>
    <t>Prix Unitaire TTC (FCFA)</t>
  </si>
  <si>
    <t>Prix Total TTC (FCFA)</t>
  </si>
  <si>
    <t>Receveur de douche</t>
  </si>
  <si>
    <t>Lavabo/Vasque simple</t>
  </si>
  <si>
    <t>Évier bac unique</t>
  </si>
  <si>
    <t>Évier double bac</t>
  </si>
  <si>
    <t>Siphon de sol 4 voies 50x75mm</t>
  </si>
  <si>
    <t>Porte-papier hygiénique inox</t>
  </si>
  <si>
    <t>Porte-savon</t>
  </si>
  <si>
    <t>Porte balai + balayette</t>
  </si>
  <si>
    <t>Vanne d'arrêt</t>
  </si>
  <si>
    <t>Bac à laver avec robinet de puisage</t>
  </si>
  <si>
    <t>Miroir de lavabo</t>
  </si>
  <si>
    <t>Chauffe-eau 50 L</t>
  </si>
  <si>
    <t>Chauffe-eau 75 L</t>
  </si>
  <si>
    <t>Chauffe-eau 100 L</t>
  </si>
  <si>
    <t>Petites fournitures et accessoires</t>
  </si>
  <si>
    <t>Accessoires + raccordements + essais</t>
  </si>
  <si>
    <t>Sous Total A</t>
  </si>
  <si>
    <t>B</t>
  </si>
  <si>
    <t>RÉSEAUX D'ÉVACUATION EAUX USÉES/VANNES</t>
  </si>
  <si>
    <t>Canalisation PVC Ø63</t>
  </si>
  <si>
    <t>Canalisation PVC Ø75</t>
  </si>
  <si>
    <t>Canalisation PVC Ø100</t>
  </si>
  <si>
    <t>Canalisation PVC Ø110</t>
  </si>
  <si>
    <t>Sous Total B</t>
  </si>
  <si>
    <t>C</t>
  </si>
  <si>
    <t>RÉSEAU DISTRIBUTION EAU POTABLE (PPR)</t>
  </si>
  <si>
    <t>Tuyau PPR Ø25</t>
  </si>
  <si>
    <t>Coude PPR Ø25</t>
  </si>
  <si>
    <t>Manchon PPR Ø32</t>
  </si>
  <si>
    <t>Coude avec filetage</t>
  </si>
  <si>
    <t>Té PPR Ø25</t>
  </si>
  <si>
    <t>Sous Total C</t>
  </si>
  <si>
    <t>D</t>
  </si>
  <si>
    <t>RÉSEAU D'ÉVACUATION EAUX PLUVIALES</t>
  </si>
  <si>
    <t>PVC Ø110</t>
  </si>
  <si>
    <t>Sous Total D</t>
  </si>
  <si>
    <t>E</t>
  </si>
  <si>
    <t>STATION DE SURPRESSION</t>
  </si>
  <si>
    <t>Station de surpression complète (2 pompes 27 m3/h - 35 mCE, vessie 300L)</t>
  </si>
  <si>
    <t>Raccordement bâches à eau + accessoires</t>
  </si>
  <si>
    <t>Sous Total E</t>
  </si>
  <si>
    <t>F</t>
  </si>
  <si>
    <t>AUTRES PLOMBERIE</t>
  </si>
  <si>
    <t>Siphon de sol D63</t>
  </si>
  <si>
    <t>Ensemble vanne, compteur, clapet anti-retour</t>
  </si>
  <si>
    <t>Sous Total F</t>
  </si>
  <si>
    <t>G</t>
  </si>
  <si>
    <t>VENTILATION MÉCANIQUE (VMC)</t>
  </si>
  <si>
    <t>Conduit spiralé acier galva D125 (pose incluse)</t>
  </si>
  <si>
    <t>LOT 10 : PLOMBERIE SANITAIRE</t>
  </si>
  <si>
    <t>WC à l'anglaise</t>
  </si>
  <si>
    <t>Lot 18</t>
  </si>
  <si>
    <t>VMC (VENTILATION MÉCANIQUE)</t>
  </si>
  <si>
    <t>TOTAL LOT 10 TTC</t>
  </si>
  <si>
    <t>GROUPE ELECT. PAO 75 KVA INSON</t>
  </si>
  <si>
    <t>CLIMATISEUR SPLIT WHIRLPOOL 1.25CV A+ - AMD024</t>
  </si>
  <si>
    <t>CLIMATISEUR SPLIT WHIRLPOOL 5KW A+ - AMD026</t>
  </si>
  <si>
    <t>CLIMATISEUR SPLIT WHIRLPOOL 7KW A+ - AMD027</t>
  </si>
  <si>
    <t>HOTTE ASPIRANTE AKR 439 - AKR441WH</t>
  </si>
  <si>
    <t>LAISONS FRIGORIFIQUES + ISOLATION</t>
  </si>
  <si>
    <t>TUYAUTERIE PVC CONDENSATS / VMC</t>
  </si>
  <si>
    <t>LOT 9 – Sécurité incendie (TTC)</t>
  </si>
  <si>
    <t>DETECTEUR AUTO DE FUMEE 9V LITHIUM</t>
  </si>
  <si>
    <t>CABLE SECURITE INCENDIE CR1-C1 2X 1.5mm²</t>
  </si>
  <si>
    <t>TOTAL LOT 9 TTC</t>
  </si>
  <si>
    <t>9 254 500</t>
  </si>
  <si>
    <t>Lot 12 – Ascenseur (TTC)</t>
  </si>
  <si>
    <t>ASCENSEUR 630 KG (08 personnes)</t>
  </si>
  <si>
    <t>Ascenseur de 630 kg, 4 arrêts, vitesse de 1 m/s etc</t>
  </si>
  <si>
    <t>TOTAL LOT 12 TTC</t>
  </si>
  <si>
    <t>Lot 15 – VIDÉO SURVEILLANCE (TTC)</t>
  </si>
  <si>
    <t>Caméra extérieure (protégée) suivant descriptif</t>
  </si>
  <si>
    <t>Caméra intérieure dôme</t>
  </si>
  <si>
    <t>Serveur NVR</t>
  </si>
  <si>
    <t>Moniteur LCD</t>
  </si>
  <si>
    <t>Câblage &amp; accessoires divers</t>
  </si>
  <si>
    <t>Lot 11 : Faux plafonds (plafond acoustique du type ‘’ARMSTRONG’’)</t>
  </si>
  <si>
    <t>Faux plafonds &amp; Cloisons</t>
  </si>
  <si>
    <t>Faux plafonds (plafond acoustique du type ‘’ARMSTRONG’’)</t>
  </si>
  <si>
    <t>Cloisons en placo-platre</t>
  </si>
  <si>
    <t>TOTAL LOT 11 TTC</t>
  </si>
  <si>
    <t>Lot 14 – Peinture (TTC)</t>
  </si>
  <si>
    <t>Peinture intérieur sur murs (option plafond acoustique)</t>
  </si>
  <si>
    <t>Peinture intérieur sur murs et plafonds (Placo-platre)</t>
  </si>
  <si>
    <t>TOTAL MAIN DOEUVRES</t>
  </si>
  <si>
    <t>Lot 19</t>
  </si>
  <si>
    <t>ISOLATION THERMIQUE FAÇADE EXTÉRIEURE</t>
  </si>
  <si>
    <t>CRUZEL. M – SERVICES</t>
  </si>
  <si>
    <t>Lot 5 – MENUISERIE MÉTALLIQUE ET FERRONNERIE (TTC)</t>
  </si>
  <si>
    <t>Porte métallique du local GE</t>
  </si>
  <si>
    <t>Grille de protection du local GE</t>
  </si>
  <si>
    <t>Lot 16 – CENTRALE SOLAIRE (TTC)</t>
  </si>
  <si>
    <t>Lot 18 - VMC (VENTILATION MÉCANIQUE)</t>
  </si>
  <si>
    <t>Lot 17 - Groupe eléctrogène</t>
  </si>
  <si>
    <t>Lot 19 - ISOLATION THERMIQUE FAÇADE EXTÉRIEURE</t>
  </si>
  <si>
    <t>F &amp; P Système "ROCKWOOL" d'isolation
thermo-acoustique épaisseur 10cm en laine
de roche depuis l'extérieur, avec densité 70
kg/m³ et conductivité thermique 0,042
W/(mK)</t>
  </si>
  <si>
    <t>TOTAL LOT 17 TTC</t>
  </si>
  <si>
    <t>CONSTRUCT</t>
  </si>
  <si>
    <t>Andres CONSTRUCTION</t>
  </si>
  <si>
    <t>Observation</t>
  </si>
  <si>
    <t>RDC batiment principal + tout le batiment annexe</t>
  </si>
  <si>
    <t>Terrasse batiment annexe et batiment principal</t>
  </si>
  <si>
    <t>Tarif CHINA</t>
  </si>
  <si>
    <t>Rennes le 31/10/2025</t>
  </si>
  <si>
    <t>LOT 1_PHASE1– Terrassement &amp; Gros Œuvre (TTC)</t>
  </si>
  <si>
    <t>LOT 2 – Etancheité (TTC)</t>
  </si>
  <si>
    <t>LOT 7 PHASE1 – Électricité – DQE (Quantités DQE + Prix ÉLECTRA)</t>
  </si>
  <si>
    <t>En attente de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</si>
</sst>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_€"/>
  </numFmts>
  <fonts count="3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name val="Calibri"/>
    </font>
    <font>
      <sz val="11"/>
      <color rgb="FF92D050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color rgb="FF0F1115"/>
      <name val="Segoe UI"/>
      <family val="2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2"/>
      <color rgb="FF0F1115"/>
      <name val="Segoe UI"/>
      <family val="2"/>
    </font>
    <font>
      <sz val="10"/>
      <color rgb="FF0F1115"/>
      <name val="Consolas"/>
      <family val="3"/>
    </font>
    <font>
      <b/>
      <sz val="10"/>
      <color rgb="FF0F1115"/>
      <name val="Consolas"/>
      <family val="3"/>
    </font>
    <font>
      <b/>
      <sz val="14"/>
      <color rgb="FF0F1115"/>
      <name val="Consolas"/>
      <family val="3"/>
    </font>
    <font>
      <b/>
      <sz val="12"/>
      <color rgb="FF0F1115"/>
      <name val="Consolas"/>
      <family val="3"/>
    </font>
    <font>
      <b/>
      <sz val="10"/>
      <color rgb="FF383A42"/>
      <name val="Consolas"/>
      <family val="3"/>
    </font>
    <font>
      <b/>
      <sz val="16"/>
      <color theme="1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4"/>
      <color rgb="FF0F111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8F3FA"/>
      </patternFill>
    </fill>
    <fill>
      <patternFill patternType="solid">
        <fgColor rgb="FFD9EE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3" fontId="30" fillId="0" borderId="0"/>
    <xf numFmtId="0" fontId="33" fillId="0" borderId="0" applyNumberFormat="0" applyFill="0" applyBorder="0" applyAlignment="0" applyProtection="0"/>
  </cellStyleXfs>
  <cellXfs count="182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6" fillId="0" borderId="0" xfId="0" applyFont="1"/>
    <xf numFmtId="0" fontId="0" fillId="2" borderId="0" xfId="0" applyFill="1"/>
    <xf numFmtId="0" fontId="0" fillId="3" borderId="0" xfId="0" applyFill="1"/>
    <xf numFmtId="0" fontId="9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5" fillId="0" borderId="1" xfId="0" applyFont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11" fillId="0" borderId="0" xfId="0" applyFont="1"/>
    <xf numFmtId="0" fontId="12" fillId="7" borderId="0" xfId="0" applyFont="1" applyFill="1"/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2" fillId="10" borderId="0" xfId="0" applyFont="1" applyFill="1"/>
    <xf numFmtId="0" fontId="0" fillId="0" borderId="1" xfId="0" applyBorder="1" applyAlignment="1">
      <alignment vertical="center" wrapText="1"/>
    </xf>
    <xf numFmtId="0" fontId="0" fillId="11" borderId="0" xfId="0" applyFill="1"/>
    <xf numFmtId="0" fontId="0" fillId="12" borderId="0" xfId="0" applyFill="1"/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164" fontId="0" fillId="4" borderId="0" xfId="0" applyNumberFormat="1" applyFill="1"/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10" borderId="0" xfId="0" applyNumberFormat="1" applyFill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4" fontId="0" fillId="5" borderId="0" xfId="0" applyNumberFormat="1" applyFill="1"/>
    <xf numFmtId="164" fontId="0" fillId="6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0" fillId="7" borderId="0" xfId="0" applyNumberFormat="1" applyFill="1"/>
    <xf numFmtId="164" fontId="6" fillId="0" borderId="1" xfId="0" applyNumberFormat="1" applyFont="1" applyBorder="1" applyAlignment="1">
      <alignment horizontal="right" vertical="center"/>
    </xf>
    <xf numFmtId="164" fontId="0" fillId="11" borderId="0" xfId="0" applyNumberFormat="1" applyFill="1"/>
    <xf numFmtId="164" fontId="0" fillId="0" borderId="1" xfId="0" applyNumberFormat="1" applyBorder="1"/>
    <xf numFmtId="164" fontId="0" fillId="12" borderId="0" xfId="0" applyNumberFormat="1" applyFill="1"/>
    <xf numFmtId="164" fontId="16" fillId="0" borderId="0" xfId="0" applyNumberFormat="1" applyFont="1" applyAlignment="1">
      <alignment horizontal="right" vertical="center"/>
    </xf>
    <xf numFmtId="0" fontId="17" fillId="0" borderId="0" xfId="0" applyFont="1"/>
    <xf numFmtId="0" fontId="18" fillId="0" borderId="0" xfId="0" applyFont="1"/>
    <xf numFmtId="0" fontId="14" fillId="0" borderId="0" xfId="0" applyFont="1"/>
    <xf numFmtId="0" fontId="6" fillId="0" borderId="1" xfId="0" applyFont="1" applyBorder="1"/>
    <xf numFmtId="0" fontId="18" fillId="0" borderId="1" xfId="0" applyFont="1" applyBorder="1"/>
    <xf numFmtId="3" fontId="19" fillId="0" borderId="1" xfId="0" applyNumberFormat="1" applyFont="1" applyBorder="1"/>
    <xf numFmtId="3" fontId="14" fillId="0" borderId="1" xfId="0" applyNumberFormat="1" applyFont="1" applyBorder="1"/>
    <xf numFmtId="0" fontId="14" fillId="0" borderId="1" xfId="0" applyFont="1" applyBorder="1"/>
    <xf numFmtId="0" fontId="21" fillId="0" borderId="1" xfId="0" applyFont="1" applyBorder="1" applyAlignment="1">
      <alignment vertical="center"/>
    </xf>
    <xf numFmtId="0" fontId="25" fillId="0" borderId="0" xfId="0" applyFont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/>
    <xf numFmtId="0" fontId="22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22" fillId="0" borderId="1" xfId="0" applyFont="1" applyBorder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0" fillId="13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3" xfId="0" applyBorder="1"/>
    <xf numFmtId="2" fontId="0" fillId="0" borderId="0" xfId="0" applyNumberFormat="1"/>
    <xf numFmtId="2" fontId="0" fillId="0" borderId="1" xfId="0" applyNumberFormat="1" applyBorder="1"/>
    <xf numFmtId="2" fontId="0" fillId="13" borderId="1" xfId="0" applyNumberFormat="1" applyFill="1" applyBorder="1"/>
    <xf numFmtId="2" fontId="16" fillId="0" borderId="1" xfId="0" applyNumberFormat="1" applyFont="1" applyBorder="1"/>
    <xf numFmtId="2" fontId="0" fillId="11" borderId="1" xfId="0" applyNumberFormat="1" applyFill="1" applyBorder="1"/>
    <xf numFmtId="2" fontId="0" fillId="14" borderId="1" xfId="0" applyNumberFormat="1" applyFill="1" applyBorder="1"/>
    <xf numFmtId="2" fontId="0" fillId="15" borderId="1" xfId="0" applyNumberFormat="1" applyFill="1" applyBorder="1"/>
    <xf numFmtId="2" fontId="0" fillId="16" borderId="1" xfId="0" applyNumberFormat="1" applyFill="1" applyBorder="1"/>
    <xf numFmtId="2" fontId="16" fillId="0" borderId="0" xfId="0" applyNumberFormat="1" applyFont="1"/>
    <xf numFmtId="4" fontId="0" fillId="0" borderId="0" xfId="0" applyNumberFormat="1"/>
    <xf numFmtId="4" fontId="0" fillId="0" borderId="1" xfId="0" applyNumberFormat="1" applyBorder="1"/>
    <xf numFmtId="4" fontId="0" fillId="13" borderId="1" xfId="0" applyNumberFormat="1" applyFill="1" applyBorder="1"/>
    <xf numFmtId="4" fontId="16" fillId="0" borderId="1" xfId="0" applyNumberFormat="1" applyFont="1" applyBorder="1"/>
    <xf numFmtId="4" fontId="0" fillId="11" borderId="1" xfId="0" applyNumberFormat="1" applyFill="1" applyBorder="1"/>
    <xf numFmtId="4" fontId="0" fillId="14" borderId="1" xfId="0" applyNumberFormat="1" applyFill="1" applyBorder="1"/>
    <xf numFmtId="4" fontId="0" fillId="15" borderId="1" xfId="0" applyNumberFormat="1" applyFill="1" applyBorder="1"/>
    <xf numFmtId="4" fontId="0" fillId="16" borderId="1" xfId="0" applyNumberFormat="1" applyFill="1" applyBorder="1"/>
    <xf numFmtId="4" fontId="16" fillId="0" borderId="0" xfId="0" applyNumberFormat="1" applyFont="1"/>
    <xf numFmtId="164" fontId="0" fillId="13" borderId="1" xfId="0" applyNumberFormat="1" applyFill="1" applyBorder="1"/>
    <xf numFmtId="164" fontId="0" fillId="11" borderId="1" xfId="0" applyNumberFormat="1" applyFill="1" applyBorder="1"/>
    <xf numFmtId="164" fontId="0" fillId="14" borderId="1" xfId="0" applyNumberFormat="1" applyFill="1" applyBorder="1"/>
    <xf numFmtId="164" fontId="0" fillId="15" borderId="1" xfId="0" applyNumberFormat="1" applyFill="1" applyBorder="1"/>
    <xf numFmtId="164" fontId="0" fillId="16" borderId="1" xfId="0" applyNumberFormat="1" applyFill="1" applyBorder="1"/>
    <xf numFmtId="164" fontId="6" fillId="0" borderId="1" xfId="0" applyNumberFormat="1" applyFont="1" applyBorder="1"/>
    <xf numFmtId="164" fontId="6" fillId="0" borderId="0" xfId="0" applyNumberFormat="1" applyFont="1"/>
    <xf numFmtId="0" fontId="26" fillId="0" borderId="0" xfId="0" applyFont="1"/>
    <xf numFmtId="164" fontId="26" fillId="0" borderId="0" xfId="0" applyNumberFormat="1" applyFont="1"/>
    <xf numFmtId="4" fontId="0" fillId="0" borderId="1" xfId="0" applyNumberFormat="1" applyBorder="1" applyAlignment="1">
      <alignment horizontal="right"/>
    </xf>
    <xf numFmtId="0" fontId="0" fillId="17" borderId="1" xfId="0" applyFill="1" applyBorder="1"/>
    <xf numFmtId="4" fontId="0" fillId="17" borderId="1" xfId="0" applyNumberFormat="1" applyFill="1" applyBorder="1"/>
    <xf numFmtId="164" fontId="0" fillId="17" borderId="1" xfId="0" applyNumberFormat="1" applyFill="1" applyBorder="1"/>
    <xf numFmtId="0" fontId="0" fillId="15" borderId="0" xfId="0" applyFill="1"/>
    <xf numFmtId="2" fontId="0" fillId="0" borderId="1" xfId="0" applyNumberFormat="1" applyBorder="1" applyProtection="1">
      <protection locked="0"/>
    </xf>
    <xf numFmtId="4" fontId="0" fillId="15" borderId="0" xfId="0" applyNumberFormat="1" applyFill="1"/>
    <xf numFmtId="4" fontId="0" fillId="0" borderId="1" xfId="0" applyNumberFormat="1" applyBorder="1" applyProtection="1">
      <protection locked="0"/>
    </xf>
    <xf numFmtId="4" fontId="0" fillId="0" borderId="0" xfId="0" applyNumberFormat="1" applyProtection="1">
      <protection locked="0"/>
    </xf>
    <xf numFmtId="4" fontId="0" fillId="13" borderId="1" xfId="0" applyNumberFormat="1" applyFill="1" applyBorder="1" applyProtection="1">
      <protection locked="0"/>
    </xf>
    <xf numFmtId="4" fontId="0" fillId="11" borderId="1" xfId="0" applyNumberFormat="1" applyFill="1" applyBorder="1" applyProtection="1">
      <protection locked="0"/>
    </xf>
    <xf numFmtId="4" fontId="0" fillId="14" borderId="1" xfId="0" applyNumberFormat="1" applyFill="1" applyBorder="1" applyProtection="1">
      <protection locked="0"/>
    </xf>
    <xf numFmtId="4" fontId="0" fillId="15" borderId="1" xfId="0" applyNumberFormat="1" applyFill="1" applyBorder="1" applyProtection="1">
      <protection locked="0"/>
    </xf>
    <xf numFmtId="4" fontId="0" fillId="16" borderId="1" xfId="0" applyNumberFormat="1" applyFill="1" applyBorder="1" applyProtection="1">
      <protection locked="0"/>
    </xf>
    <xf numFmtId="4" fontId="26" fillId="0" borderId="0" xfId="0" applyNumberFormat="1" applyFont="1" applyProtection="1">
      <protection locked="0"/>
    </xf>
    <xf numFmtId="2" fontId="0" fillId="0" borderId="1" xfId="1" applyNumberFormat="1" applyFont="1" applyBorder="1"/>
    <xf numFmtId="4" fontId="16" fillId="0" borderId="1" xfId="0" applyNumberFormat="1" applyFont="1" applyBorder="1" applyProtection="1">
      <protection locked="0"/>
    </xf>
    <xf numFmtId="4" fontId="16" fillId="0" borderId="0" xfId="0" applyNumberFormat="1" applyFont="1" applyProtection="1">
      <protection locked="0"/>
    </xf>
    <xf numFmtId="0" fontId="26" fillId="0" borderId="0" xfId="0" applyFont="1" applyAlignment="1">
      <alignment horizontal="right"/>
    </xf>
    <xf numFmtId="0" fontId="12" fillId="0" borderId="0" xfId="0" applyFont="1"/>
    <xf numFmtId="0" fontId="0" fillId="0" borderId="4" xfId="0" applyBorder="1" applyAlignment="1">
      <alignment horizontal="left" vertical="center" wrapText="1"/>
    </xf>
    <xf numFmtId="0" fontId="2" fillId="18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2" fillId="18" borderId="0" xfId="0" applyFont="1" applyFill="1" applyAlignment="1">
      <alignment horizontal="right" vertical="center"/>
    </xf>
    <xf numFmtId="3" fontId="2" fillId="18" borderId="0" xfId="0" applyNumberFormat="1" applyFont="1" applyFill="1" applyAlignment="1">
      <alignment horizontal="center" vertical="center" wrapText="1"/>
    </xf>
    <xf numFmtId="0" fontId="12" fillId="18" borderId="0" xfId="0" applyFont="1" applyFill="1" applyAlignment="1">
      <alignment horizontal="right" vertical="center"/>
    </xf>
    <xf numFmtId="3" fontId="12" fillId="18" borderId="0" xfId="0" applyNumberFormat="1" applyFont="1" applyFill="1" applyAlignment="1">
      <alignment horizontal="center" vertical="center" wrapText="1"/>
    </xf>
    <xf numFmtId="0" fontId="28" fillId="0" borderId="0" xfId="0" applyFont="1"/>
    <xf numFmtId="0" fontId="0" fillId="0" borderId="0" xfId="0" applyAlignment="1">
      <alignment horizontal="center"/>
    </xf>
    <xf numFmtId="0" fontId="29" fillId="0" borderId="0" xfId="0" applyFont="1"/>
    <xf numFmtId="0" fontId="0" fillId="14" borderId="0" xfId="0" applyFill="1"/>
    <xf numFmtId="0" fontId="0" fillId="20" borderId="0" xfId="0" applyFill="1"/>
    <xf numFmtId="0" fontId="0" fillId="16" borderId="0" xfId="0" applyFill="1"/>
    <xf numFmtId="0" fontId="0" fillId="21" borderId="0" xfId="0" applyFill="1"/>
    <xf numFmtId="0" fontId="0" fillId="22" borderId="0" xfId="0" applyFill="1"/>
    <xf numFmtId="0" fontId="0" fillId="0" borderId="0" xfId="0" applyAlignment="1">
      <alignment horizontal="left"/>
    </xf>
    <xf numFmtId="3" fontId="30" fillId="0" borderId="1" xfId="2" applyBorder="1"/>
    <xf numFmtId="3" fontId="26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6" fillId="0" borderId="0" xfId="0" applyNumberFormat="1" applyFont="1"/>
    <xf numFmtId="0" fontId="16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0" fontId="31" fillId="0" borderId="0" xfId="0" applyFont="1"/>
    <xf numFmtId="0" fontId="2" fillId="0" borderId="1" xfId="0" applyFont="1" applyBorder="1" applyAlignment="1">
      <alignment horizontal="center"/>
    </xf>
    <xf numFmtId="0" fontId="31" fillId="0" borderId="1" xfId="0" applyFont="1" applyBorder="1"/>
    <xf numFmtId="0" fontId="0" fillId="0" borderId="0" xfId="0" applyAlignment="1">
      <alignment vertical="top" wrapText="1"/>
    </xf>
    <xf numFmtId="4" fontId="2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vertical="center"/>
    </xf>
    <xf numFmtId="0" fontId="28" fillId="0" borderId="1" xfId="0" applyFont="1" applyBorder="1"/>
    <xf numFmtId="0" fontId="32" fillId="0" borderId="0" xfId="0" applyFont="1"/>
    <xf numFmtId="4" fontId="26" fillId="0" borderId="1" xfId="0" applyNumberFormat="1" applyFont="1" applyBorder="1" applyProtection="1">
      <protection locked="0"/>
    </xf>
    <xf numFmtId="4" fontId="26" fillId="0" borderId="1" xfId="0" applyNumberFormat="1" applyFont="1" applyBorder="1" applyAlignment="1" applyProtection="1">
      <alignment horizontal="right"/>
      <protection locked="0"/>
    </xf>
    <xf numFmtId="4" fontId="16" fillId="20" borderId="0" xfId="0" applyNumberFormat="1" applyFont="1" applyFill="1"/>
    <xf numFmtId="0" fontId="2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6" fillId="0" borderId="1" xfId="0" applyFont="1" applyBorder="1"/>
    <xf numFmtId="0" fontId="11" fillId="13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center"/>
    </xf>
    <xf numFmtId="4" fontId="26" fillId="0" borderId="0" xfId="0" applyNumberFormat="1" applyFont="1"/>
    <xf numFmtId="0" fontId="33" fillId="0" borderId="0" xfId="3"/>
    <xf numFmtId="4" fontId="28" fillId="0" borderId="1" xfId="0" applyNumberFormat="1" applyFont="1" applyBorder="1"/>
    <xf numFmtId="4" fontId="5" fillId="0" borderId="1" xfId="0" applyNumberFormat="1" applyFont="1" applyBorder="1"/>
    <xf numFmtId="4" fontId="8" fillId="0" borderId="0" xfId="0" applyNumberFormat="1" applyFont="1"/>
    <xf numFmtId="0" fontId="1" fillId="0" borderId="0" xfId="0" applyFont="1" applyAlignment="1">
      <alignment horizontal="center"/>
    </xf>
    <xf numFmtId="0" fontId="29" fillId="0" borderId="0" xfId="0" applyFont="1"/>
    <xf numFmtId="0" fontId="11" fillId="0" borderId="0" xfId="0" applyFont="1" applyAlignment="1">
      <alignment horizontal="left"/>
    </xf>
    <xf numFmtId="0" fontId="13" fillId="9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28" fillId="0" borderId="0" xfId="0" applyFont="1"/>
    <xf numFmtId="0" fontId="6" fillId="14" borderId="0" xfId="0" applyFont="1" applyFill="1"/>
    <xf numFmtId="0" fontId="27" fillId="19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4">
    <cellStyle name="Lien hypertexte" xfId="3" builtinId="8"/>
    <cellStyle name="Monétaire" xfId="1" builtinId="4"/>
    <cellStyle name="money" xfId="2" xr:uid="{D27151F3-A8AA-4F51-97AE-1A7882124F35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15</xdr:row>
      <xdr:rowOff>9525</xdr:rowOff>
    </xdr:from>
    <xdr:to>
      <xdr:col>6</xdr:col>
      <xdr:colOff>66674</xdr:colOff>
      <xdr:row>28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FA3B97-F533-8044-844A-F339D42B2CA4}"/>
            </a:ext>
          </a:extLst>
        </xdr:cNvPr>
        <xdr:cNvSpPr txBox="1"/>
      </xdr:nvSpPr>
      <xdr:spPr>
        <a:xfrm>
          <a:off x="85725" y="2971800"/>
          <a:ext cx="7029449" cy="2466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Adresse : </a:t>
          </a:r>
          <a:r>
            <a:rPr lang="fr-FR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176 rue Bouzala, Brazzaville, Congo</a:t>
          </a:r>
          <a:r>
            <a:rPr lang="fr-FR" sz="1600" b="0">
              <a:effectLst/>
            </a:rPr>
            <a:t> </a:t>
          </a:r>
        </a:p>
        <a:p>
          <a:pPr algn="ctr"/>
          <a:r>
            <a:rPr lang="fr-F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Maître d’ouvrage : </a:t>
          </a:r>
          <a:r>
            <a:rPr lang="fr-FR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Henri Gankama</a:t>
          </a:r>
          <a:r>
            <a:rPr lang="fr-FR" sz="1600" b="0">
              <a:effectLst/>
            </a:rPr>
            <a:t> </a:t>
          </a:r>
        </a:p>
        <a:p>
          <a:pPr algn="ctr"/>
          <a:r>
            <a:rPr lang="fr-F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Version : </a:t>
          </a:r>
          <a:r>
            <a:rPr lang="fr-FR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fr-FR" sz="1600" b="1">
              <a:effectLst/>
            </a:rPr>
            <a:t> </a:t>
          </a:r>
        </a:p>
        <a:p>
          <a:pPr algn="ctr"/>
          <a:r>
            <a:rPr lang="fr-FR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 : </a:t>
          </a:r>
          <a:r>
            <a:rPr lang="fr-FR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fr-FR" sz="1600" b="0">
              <a:effectLst/>
            </a:rPr>
            <a:t> </a:t>
          </a:r>
          <a:endParaRPr lang="fr-FR" sz="16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2524125</xdr:colOff>
      <xdr:row>0</xdr:row>
      <xdr:rowOff>171450</xdr:rowOff>
    </xdr:from>
    <xdr:to>
      <xdr:col>4</xdr:col>
      <xdr:colOff>1590108</xdr:colOff>
      <xdr:row>10</xdr:row>
      <xdr:rowOff>123824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690DEB3-533E-A0B9-8B9F-3A89FAE07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875" y="171450"/>
          <a:ext cx="4533333" cy="1857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</xdr:row>
      <xdr:rowOff>180975</xdr:rowOff>
    </xdr:from>
    <xdr:to>
      <xdr:col>1</xdr:col>
      <xdr:colOff>2781300</xdr:colOff>
      <xdr:row>8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7F7DAA9-906F-63B5-BFDC-1AD70F60174F}"/>
            </a:ext>
          </a:extLst>
        </xdr:cNvPr>
        <xdr:cNvSpPr txBox="1"/>
      </xdr:nvSpPr>
      <xdr:spPr>
        <a:xfrm>
          <a:off x="647700" y="371475"/>
          <a:ext cx="280035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 editAs="oneCell">
    <xdr:from>
      <xdr:col>1</xdr:col>
      <xdr:colOff>190501</xdr:colOff>
      <xdr:row>2</xdr:row>
      <xdr:rowOff>6898</xdr:rowOff>
    </xdr:from>
    <xdr:to>
      <xdr:col>1</xdr:col>
      <xdr:colOff>3009901</xdr:colOff>
      <xdr:row>8</xdr:row>
      <xdr:rowOff>19048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5B43C3F-3A25-472B-BD62-E0A03867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1" y="387898"/>
          <a:ext cx="2819400" cy="115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1495425</xdr:colOff>
      <xdr:row>0</xdr:row>
      <xdr:rowOff>19049</xdr:rowOff>
    </xdr:from>
    <xdr:to>
      <xdr:col>2</xdr:col>
      <xdr:colOff>409575</xdr:colOff>
      <xdr:row>8</xdr:row>
      <xdr:rowOff>34096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CD8D6B8-8791-4B6B-AC1C-7B5C55567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0" y="19049"/>
          <a:ext cx="4686300" cy="19200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2</xdr:col>
      <xdr:colOff>0</xdr:colOff>
      <xdr:row>7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07F085B-C889-0E27-137C-4D4FB03EB6CC}"/>
            </a:ext>
          </a:extLst>
        </xdr:cNvPr>
        <xdr:cNvSpPr txBox="1"/>
      </xdr:nvSpPr>
      <xdr:spPr>
        <a:xfrm>
          <a:off x="666750" y="400050"/>
          <a:ext cx="4000500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 editAs="oneCell">
    <xdr:from>
      <xdr:col>1</xdr:col>
      <xdr:colOff>0</xdr:colOff>
      <xdr:row>2</xdr:row>
      <xdr:rowOff>19050</xdr:rowOff>
    </xdr:from>
    <xdr:to>
      <xdr:col>1</xdr:col>
      <xdr:colOff>2819400</xdr:colOff>
      <xdr:row>8</xdr:row>
      <xdr:rowOff>31200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736B55-BAA9-4519-AEC7-EE988425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00050"/>
          <a:ext cx="2819400" cy="1155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9525</xdr:rowOff>
    </xdr:from>
    <xdr:to>
      <xdr:col>4</xdr:col>
      <xdr:colOff>351515</xdr:colOff>
      <xdr:row>8</xdr:row>
      <xdr:rowOff>95073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904AEC0-2934-C583-8BA9-9F28BC60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00025"/>
          <a:ext cx="7276190" cy="14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684881</xdr:colOff>
      <xdr:row>7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B80423-F423-AC7F-AE6D-4C280BD8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76250"/>
          <a:ext cx="7352381" cy="13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4324350</xdr:colOff>
      <xdr:row>0</xdr:row>
      <xdr:rowOff>0</xdr:rowOff>
    </xdr:from>
    <xdr:to>
      <xdr:col>1</xdr:col>
      <xdr:colOff>6781800</xdr:colOff>
      <xdr:row>8</xdr:row>
      <xdr:rowOff>145947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0765C0D-2165-4FD4-B5C2-DC84F326B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0"/>
          <a:ext cx="2457450" cy="17175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3714751</xdr:colOff>
      <xdr:row>0</xdr:row>
      <xdr:rowOff>28575</xdr:rowOff>
    </xdr:from>
    <xdr:to>
      <xdr:col>1</xdr:col>
      <xdr:colOff>6477001</xdr:colOff>
      <xdr:row>10</xdr:row>
      <xdr:rowOff>6554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984DE49-0060-2713-C648-70C47813C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1" y="28575"/>
          <a:ext cx="2762250" cy="19306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1790700</xdr:colOff>
      <xdr:row>0</xdr:row>
      <xdr:rowOff>123825</xdr:rowOff>
    </xdr:from>
    <xdr:to>
      <xdr:col>2</xdr:col>
      <xdr:colOff>38100</xdr:colOff>
      <xdr:row>7</xdr:row>
      <xdr:rowOff>161412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BB981FF-1D11-4ED5-B236-48B7D464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23825"/>
          <a:ext cx="2247900" cy="15711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2943225</xdr:colOff>
      <xdr:row>0</xdr:row>
      <xdr:rowOff>0</xdr:rowOff>
    </xdr:from>
    <xdr:to>
      <xdr:col>4</xdr:col>
      <xdr:colOff>952500</xdr:colOff>
      <xdr:row>9</xdr:row>
      <xdr:rowOff>49673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4F05C2E-A87A-404C-92D4-3C157C7D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0"/>
          <a:ext cx="2524125" cy="17641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2</xdr:row>
      <xdr:rowOff>21001</xdr:rowOff>
    </xdr:from>
    <xdr:to>
      <xdr:col>3</xdr:col>
      <xdr:colOff>47626</xdr:colOff>
      <xdr:row>7</xdr:row>
      <xdr:rowOff>104579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9C8C9FF-5458-0023-D121-73AA07AB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421051"/>
          <a:ext cx="4019550" cy="10837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3</xdr:col>
      <xdr:colOff>28575</xdr:colOff>
      <xdr:row>8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47A3110-4ADD-B4F8-E69C-AE282C884DDB}"/>
            </a:ext>
          </a:extLst>
        </xdr:cNvPr>
        <xdr:cNvSpPr txBox="1"/>
      </xdr:nvSpPr>
      <xdr:spPr>
        <a:xfrm>
          <a:off x="28575" y="371475"/>
          <a:ext cx="2286000" cy="1209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 editAs="oneCell">
    <xdr:from>
      <xdr:col>0</xdr:col>
      <xdr:colOff>28575</xdr:colOff>
      <xdr:row>1</xdr:row>
      <xdr:rowOff>180975</xdr:rowOff>
    </xdr:from>
    <xdr:to>
      <xdr:col>1</xdr:col>
      <xdr:colOff>1409700</xdr:colOff>
      <xdr:row>8</xdr:row>
      <xdr:rowOff>66675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2664DD0-3A78-B4D8-A87B-C6B03C9F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71475"/>
          <a:ext cx="2143125" cy="1219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684881</xdr:colOff>
      <xdr:row>6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6F17355-12B1-442A-AA20-797C4450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8125"/>
          <a:ext cx="7352381" cy="131428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141965</xdr:colOff>
      <xdr:row>8</xdr:row>
      <xdr:rowOff>85548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4AD1463-4B42-4CC7-A3B4-4244CC46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90500"/>
          <a:ext cx="7276190" cy="14190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9525</xdr:rowOff>
    </xdr:from>
    <xdr:to>
      <xdr:col>1</xdr:col>
      <xdr:colOff>3105151</xdr:colOff>
      <xdr:row>9</xdr:row>
      <xdr:rowOff>9525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F42BF3C-0E1E-CAFF-3532-A4B1CE8D2867}"/>
            </a:ext>
          </a:extLst>
        </xdr:cNvPr>
        <xdr:cNvSpPr txBox="1"/>
      </xdr:nvSpPr>
      <xdr:spPr>
        <a:xfrm>
          <a:off x="666751" y="485775"/>
          <a:ext cx="3105150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  <xdr:twoCellAnchor editAs="oneCell">
    <xdr:from>
      <xdr:col>0</xdr:col>
      <xdr:colOff>657225</xdr:colOff>
      <xdr:row>1</xdr:row>
      <xdr:rowOff>66674</xdr:rowOff>
    </xdr:from>
    <xdr:to>
      <xdr:col>1</xdr:col>
      <xdr:colOff>3038475</xdr:colOff>
      <xdr:row>8</xdr:row>
      <xdr:rowOff>133772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B25B431-2EED-401D-9FF6-C011F3963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04799"/>
          <a:ext cx="3048000" cy="173397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1</xdr:row>
      <xdr:rowOff>219075</xdr:rowOff>
    </xdr:from>
    <xdr:to>
      <xdr:col>2</xdr:col>
      <xdr:colOff>66675</xdr:colOff>
      <xdr:row>8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4E83BCD-B8FD-7129-35F9-7D458D3BAC06}"/>
            </a:ext>
          </a:extLst>
        </xdr:cNvPr>
        <xdr:cNvSpPr txBox="1"/>
      </xdr:nvSpPr>
      <xdr:spPr>
        <a:xfrm>
          <a:off x="657225" y="457200"/>
          <a:ext cx="40767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 editAs="oneCell">
    <xdr:from>
      <xdr:col>0</xdr:col>
      <xdr:colOff>657225</xdr:colOff>
      <xdr:row>1</xdr:row>
      <xdr:rowOff>219075</xdr:rowOff>
    </xdr:from>
    <xdr:to>
      <xdr:col>2</xdr:col>
      <xdr:colOff>409023</xdr:colOff>
      <xdr:row>7</xdr:row>
      <xdr:rowOff>114135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C5F5638-E65E-0174-385B-22A092C6B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457200"/>
          <a:ext cx="4419048" cy="13238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57150</xdr:rowOff>
    </xdr:from>
    <xdr:to>
      <xdr:col>5</xdr:col>
      <xdr:colOff>475331</xdr:colOff>
      <xdr:row>6</xdr:row>
      <xdr:rowOff>180811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42F3DE2-B648-DC00-41D2-EF1BD209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95275"/>
          <a:ext cx="7352381" cy="131428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2352675</xdr:colOff>
      <xdr:row>0</xdr:row>
      <xdr:rowOff>142875</xdr:rowOff>
    </xdr:from>
    <xdr:to>
      <xdr:col>3</xdr:col>
      <xdr:colOff>895350</xdr:colOff>
      <xdr:row>8</xdr:row>
      <xdr:rowOff>82447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A8234A-4269-41F3-9A54-1C5DD108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5" y="142875"/>
          <a:ext cx="2162175" cy="151119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1685006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7C9E8B6-E619-D9B2-1300-65C76F81C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38125"/>
          <a:ext cx="7352381" cy="13142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389606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0CC90E4-649A-7096-4911-12E4F466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38125"/>
          <a:ext cx="7352381" cy="1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workbookViewId="0">
      <selection activeCell="H18" sqref="H18"/>
    </sheetView>
  </sheetViews>
  <sheetFormatPr baseColWidth="10" defaultColWidth="9.140625" defaultRowHeight="15" x14ac:dyDescent="0.25"/>
  <cols>
    <col min="1" max="1" width="60" customWidth="1"/>
  </cols>
  <sheetData>
    <row r="1" spans="1:6" x14ac:dyDescent="0.25">
      <c r="A1" t="s">
        <v>517</v>
      </c>
    </row>
    <row r="11" spans="1:6" ht="23.25" x14ac:dyDescent="0.35">
      <c r="A11" s="169" t="s">
        <v>0</v>
      </c>
      <c r="B11" s="169"/>
      <c r="C11" s="169"/>
      <c r="D11" s="169"/>
      <c r="E11" s="169"/>
      <c r="F11" s="169"/>
    </row>
    <row r="30" spans="1:1" x14ac:dyDescent="0.25">
      <c r="A30" t="s">
        <v>1</v>
      </c>
    </row>
  </sheetData>
  <mergeCells count="1">
    <mergeCell ref="A11:F11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2"/>
  <sheetViews>
    <sheetView workbookViewId="0">
      <selection activeCell="C16" sqref="C16"/>
    </sheetView>
  </sheetViews>
  <sheetFormatPr baseColWidth="10" defaultColWidth="9.140625" defaultRowHeight="15" x14ac:dyDescent="0.25"/>
  <cols>
    <col min="1" max="2" width="40" customWidth="1"/>
  </cols>
  <sheetData>
    <row r="1" spans="1:2" ht="18.75" x14ac:dyDescent="0.3">
      <c r="A1" s="1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tr">
        <f>HYPERLINK("#'Lot 1'!A1","Ouvrir Lot 1")</f>
        <v>Ouvrir Lot 1</v>
      </c>
    </row>
    <row r="5" spans="1:2" x14ac:dyDescent="0.25">
      <c r="A5" t="s">
        <v>385</v>
      </c>
      <c r="B5" s="165" t="str">
        <f>HYPERLINK("#'Lot 1_PHASE1'!A1","Ouvrir Lot 1_PHASE1")</f>
        <v>Ouvrir Lot 1_PHASE1</v>
      </c>
    </row>
    <row r="6" spans="1:2" x14ac:dyDescent="0.25">
      <c r="A6" t="s">
        <v>6</v>
      </c>
      <c r="B6" t="str">
        <f>HYPERLINK("#'Lot 2'!A1","Ouvrir Lot 2")</f>
        <v>Ouvrir Lot 2</v>
      </c>
    </row>
    <row r="7" spans="1:2" x14ac:dyDescent="0.25">
      <c r="A7" t="s">
        <v>7</v>
      </c>
      <c r="B7" t="str">
        <f>HYPERLINK("#'Lot 3'!A1","Ouvrir Lot 3")</f>
        <v>Ouvrir Lot 3</v>
      </c>
    </row>
    <row r="8" spans="1:2" x14ac:dyDescent="0.25">
      <c r="A8" t="s">
        <v>383</v>
      </c>
      <c r="B8" t="str">
        <f>HYPERLINK("#'Lot 4'!A1","Ouvrir Lot 4")</f>
        <v>Ouvrir Lot 4</v>
      </c>
    </row>
    <row r="9" spans="1:2" x14ac:dyDescent="0.25">
      <c r="A9" t="s">
        <v>381</v>
      </c>
      <c r="B9" t="str">
        <f>HYPERLINK("#'Lot 5'!A1","Ouvrir Lot 5")</f>
        <v>Ouvrir Lot 5</v>
      </c>
    </row>
    <row r="10" spans="1:2" x14ac:dyDescent="0.25">
      <c r="A10" t="s">
        <v>382</v>
      </c>
      <c r="B10" t="str">
        <f>HYPERLINK("#'Lot 6'!A1","Ouvrir Lot 6")</f>
        <v>Ouvrir Lot 6</v>
      </c>
    </row>
    <row r="11" spans="1:2" x14ac:dyDescent="0.25">
      <c r="A11" t="s">
        <v>8</v>
      </c>
      <c r="B11" t="str">
        <f>HYPERLINK("#'Lot 6A'!A1","Ouvrir Lot 6A")</f>
        <v>Ouvrir Lot 6A</v>
      </c>
    </row>
    <row r="12" spans="1:2" x14ac:dyDescent="0.25">
      <c r="A12" t="s">
        <v>9</v>
      </c>
      <c r="B12" t="str">
        <f>HYPERLINK("#'Lot 6B'!A1","Ouvrir Lot 6B")</f>
        <v>Ouvrir Lot 6B</v>
      </c>
    </row>
    <row r="13" spans="1:2" x14ac:dyDescent="0.25">
      <c r="A13" t="s">
        <v>10</v>
      </c>
      <c r="B13" t="str">
        <f>HYPERLINK("#'Lot 7'!A1","Ouvrir Lot 7")</f>
        <v>Ouvrir Lot 7</v>
      </c>
    </row>
    <row r="14" spans="1:2" x14ac:dyDescent="0.25">
      <c r="A14" t="s">
        <v>11</v>
      </c>
      <c r="B14" t="str">
        <f>HYPERLINK("#'Lot 8'!A1","Ouvrir Lot 8")</f>
        <v>Ouvrir Lot 8</v>
      </c>
    </row>
    <row r="15" spans="1:2" x14ac:dyDescent="0.25">
      <c r="A15" t="s">
        <v>12</v>
      </c>
      <c r="B15" t="str">
        <f>HYPERLINK("#'Lot 9'!A1","Ouvrir Lot 9")</f>
        <v>Ouvrir Lot 9</v>
      </c>
    </row>
    <row r="16" spans="1:2" x14ac:dyDescent="0.25">
      <c r="A16" t="s">
        <v>409</v>
      </c>
      <c r="B16" t="str">
        <f>HYPERLINK("#'Lot 10'!A1","Ouvrir Lot 10")</f>
        <v>Ouvrir Lot 10</v>
      </c>
    </row>
    <row r="17" spans="1:2" x14ac:dyDescent="0.25">
      <c r="A17" t="s">
        <v>13</v>
      </c>
      <c r="B17" t="str">
        <f>HYPERLINK("#'Lot 11'!A1","Ouvrir Lot 11")</f>
        <v>Ouvrir Lot 11</v>
      </c>
    </row>
    <row r="18" spans="1:2" x14ac:dyDescent="0.25">
      <c r="A18" t="s">
        <v>14</v>
      </c>
      <c r="B18" t="str">
        <f>HYPERLINK("#'Lot 12'!A1","Ouvrir Lot 12")</f>
        <v>Ouvrir Lot 12</v>
      </c>
    </row>
    <row r="19" spans="1:2" x14ac:dyDescent="0.25">
      <c r="A19" t="s">
        <v>15</v>
      </c>
      <c r="B19" t="str">
        <f>HYPERLINK("#'Lot 13'!A1","Ouvrir Lot 13")</f>
        <v>Ouvrir Lot 13</v>
      </c>
    </row>
    <row r="20" spans="1:2" x14ac:dyDescent="0.25">
      <c r="A20" t="s">
        <v>16</v>
      </c>
      <c r="B20" t="str">
        <f>HYPERLINK("#'Lot 14'!A1","Ouvrir Lot 14")</f>
        <v>Ouvrir Lot 14</v>
      </c>
    </row>
    <row r="21" spans="1:2" x14ac:dyDescent="0.25">
      <c r="A21" t="s">
        <v>17</v>
      </c>
      <c r="B21" t="str">
        <f>HYPERLINK("#'Lot 15'!A1","Ouvrir Lot 15")</f>
        <v>Ouvrir Lot 15</v>
      </c>
    </row>
    <row r="22" spans="1:2" x14ac:dyDescent="0.25">
      <c r="A22" t="s">
        <v>18</v>
      </c>
      <c r="B22" t="str">
        <f>HYPERLINK("#'Lot 16'!A1","Ouvrir Lot 16")</f>
        <v>Ouvrir Lot 16</v>
      </c>
    </row>
  </sheetData>
  <pageMargins left="0.3" right="0.3" top="0.5" bottom="0.5" header="0.5" footer="0.5"/>
  <pageSetup paperSize="9" fitToHeight="0" orientation="landscape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30.5703125" customWidth="1"/>
    <col min="2" max="2" width="48.140625" customWidth="1"/>
    <col min="3" max="3" width="26" customWidth="1"/>
    <col min="4" max="4" width="21.5703125" customWidth="1"/>
    <col min="5" max="5" width="44.42578125" customWidth="1"/>
  </cols>
  <sheetData>
    <row r="1" spans="1:5" ht="18.75" x14ac:dyDescent="0.3">
      <c r="A1" s="1" t="s">
        <v>19</v>
      </c>
    </row>
    <row r="2" spans="1:5" ht="18.75" x14ac:dyDescent="0.3">
      <c r="A2" s="22" t="s">
        <v>20</v>
      </c>
      <c r="B2" s="22" t="s">
        <v>21</v>
      </c>
      <c r="C2" s="22" t="s">
        <v>403</v>
      </c>
      <c r="D2" s="22" t="s">
        <v>22</v>
      </c>
      <c r="E2" s="155" t="s">
        <v>513</v>
      </c>
    </row>
    <row r="3" spans="1:5" ht="21" x14ac:dyDescent="0.35">
      <c r="A3" s="12" t="s">
        <v>23</v>
      </c>
      <c r="B3" s="12" t="s">
        <v>24</v>
      </c>
      <c r="C3" s="12" t="s">
        <v>512</v>
      </c>
      <c r="D3" s="156" cm="1">
        <f t="array" aca="1" ref="D3" ca="1">IFERROR(
  _xlfn.XLOOKUP(
    "*TOTAL LOT*",
    INDIRECT("'"&amp;$A3&amp;"'!B:B"),
    INDIRECT("'"&amp;$A3&amp;"'!F:F"),
    "—",
    2,-1
  ),
  IFERROR(
    _xlfn.XLOOKUP(
      "TOTAL GENERAL TTC",
      INDIRECT("'"&amp;$A3&amp;"'!B:B"),
      INDIRECT("'"&amp;$A3&amp;"'!F:F"),
      "—",
      0,-1
    ),
  "—")
)</f>
        <v>0</v>
      </c>
      <c r="E3" s="12"/>
    </row>
    <row r="4" spans="1:5" ht="21" x14ac:dyDescent="0.35">
      <c r="A4" s="12" t="s">
        <v>386</v>
      </c>
      <c r="B4" s="12" t="s">
        <v>387</v>
      </c>
      <c r="C4" s="12" t="s">
        <v>512</v>
      </c>
      <c r="D4" s="156" cm="1">
        <f t="array" aca="1" ref="D4" ca="1">IFERROR(
  _xlfn.XLOOKUP(
    "*TOTAL LOT*",
    INDIRECT("'"&amp;$A4&amp;"'!B:B"),
    INDIRECT("'"&amp;$A4&amp;"'!F:F"),
    "—",
    2,-1
  ),
  IFERROR(
    _xlfn.XLOOKUP(
      "TOTAL GENERAL TTC",
      INDIRECT("'"&amp;$A4&amp;"'!B:B"),
      INDIRECT("'"&amp;$A4&amp;"'!F:F"),
      "—",
      0,-1
    ),
  "—")
)</f>
        <v>68807300</v>
      </c>
      <c r="E4" s="12" t="s">
        <v>514</v>
      </c>
    </row>
    <row r="5" spans="1:5" ht="21" x14ac:dyDescent="0.35">
      <c r="A5" s="12" t="s">
        <v>25</v>
      </c>
      <c r="B5" s="12" t="s">
        <v>404</v>
      </c>
      <c r="C5" s="12" t="s">
        <v>512</v>
      </c>
      <c r="D5" s="156" cm="1">
        <f t="array" aca="1" ref="D5" ca="1">IFERROR(
  _xlfn.XLOOKUP(
    "*TOTAL LOT*",
    INDIRECT("'"&amp;$A5&amp;"'!B:B"),
    INDIRECT("'"&amp;$A5&amp;"'!F:F"),
    "—",
    2,-1
  ),
  IFERROR(
    _xlfn.XLOOKUP(
      "TOTAL GENERAL TTC",
      INDIRECT("'"&amp;$A5&amp;"'!B:B"),
      INDIRECT("'"&amp;$A5&amp;"'!F:F"),
      "—",
      0,-1
    ),
  "—")
)</f>
        <v>5216000</v>
      </c>
      <c r="E5" s="12" t="s">
        <v>515</v>
      </c>
    </row>
    <row r="6" spans="1:5" ht="21" x14ac:dyDescent="0.35">
      <c r="A6" s="12" t="s">
        <v>26</v>
      </c>
      <c r="B6" s="12" t="s">
        <v>27</v>
      </c>
      <c r="C6" s="12" t="s">
        <v>512</v>
      </c>
      <c r="D6" s="156" cm="1">
        <f t="array" aca="1" ref="D6" ca="1">IFERROR(
  _xlfn.XLOOKUP(
    "*TOTAL LOT*",
    INDIRECT("'"&amp;$A6&amp;"'!B:B"),
    INDIRECT("'"&amp;$A6&amp;"'!F:F"),
    "—",
    2,-1
  ),
  IFERROR(
    _xlfn.XLOOKUP(
      "TOTAL GENERAL TTC",
      INDIRECT("'"&amp;$A6&amp;"'!B:B"),
      INDIRECT("'"&amp;$A6&amp;"'!F:F"),
      "—",
      0,-1
    ),
  "—")
)</f>
        <v>9095000</v>
      </c>
      <c r="E6" s="12"/>
    </row>
    <row r="7" spans="1:5" ht="21" x14ac:dyDescent="0.35">
      <c r="A7" s="12" t="s">
        <v>28</v>
      </c>
      <c r="B7" s="12" t="s">
        <v>408</v>
      </c>
      <c r="C7" s="12" t="s">
        <v>176</v>
      </c>
      <c r="D7" s="156" cm="1">
        <f t="array" aca="1" ref="D7" ca="1">IFERROR(
  _xlfn.XLOOKUP(
    "*TOTAL LOT*",
    INDIRECT("'"&amp;$A7&amp;"'!B:B"),
    INDIRECT("'"&amp;$A7&amp;"'!F:F"),
    "—",
    2,-1
  ),
  IFERROR(
    _xlfn.XLOOKUP(
      "TOTAL GENERAL TTC",
      INDIRECT("'"&amp;$A7&amp;"'!B:B"),
      INDIRECT("'"&amp;$A7&amp;"'!F:F"),
      "—",
      0,-1
    ),
  "—")
)</f>
        <v>14629900</v>
      </c>
      <c r="E7" s="12"/>
    </row>
    <row r="8" spans="1:5" ht="21" x14ac:dyDescent="0.35">
      <c r="A8" s="12" t="s">
        <v>29</v>
      </c>
      <c r="B8" s="12" t="s">
        <v>384</v>
      </c>
      <c r="C8" s="12" t="s">
        <v>511</v>
      </c>
      <c r="D8" s="156" cm="1">
        <f t="array" aca="1" ref="D8" ca="1">IFERROR(
  _xlfn.XLOOKUP(
    "*TOTAL LOT*",
    INDIRECT("'"&amp;$A8&amp;"'!B:B"),
    INDIRECT("'"&amp;$A8&amp;"'!F:F"),
    "—",
    2,-1
  ),
  IFERROR(
    _xlfn.XLOOKUP(
      "TOTAL GENERAL TTC",
      INDIRECT("'"&amp;$A8&amp;"'!B:B"),
      INDIRECT("'"&amp;$A8&amp;"'!F:F"),
      "—",
      0,-1
    ),
  "—")
)</f>
        <v>575000</v>
      </c>
      <c r="E8" s="12"/>
    </row>
    <row r="9" spans="1:5" ht="21" x14ac:dyDescent="0.35">
      <c r="A9" s="12" t="s">
        <v>30</v>
      </c>
      <c r="B9" s="12" t="s">
        <v>399</v>
      </c>
      <c r="C9" s="12"/>
      <c r="D9" s="156" cm="1">
        <f t="array" aca="1" ref="D9" ca="1">IFERROR(
  _xlfn.XLOOKUP(
    "*TOTAL LOT*",
    INDIRECT("'"&amp;$A9&amp;"'!B:B"),
    INDIRECT("'"&amp;$A9&amp;"'!F:F"),
    "—",
    2,-1
  ),
  IFERROR(
    _xlfn.XLOOKUP(
      "TOTAL GENERAL TTC",
      INDIRECT("'"&amp;$A9&amp;"'!B:B"),
      INDIRECT("'"&amp;$A9&amp;"'!F:F"),
      "—",
      0,-1
    ),
  "—")
)</f>
        <v>0</v>
      </c>
      <c r="E9" s="12"/>
    </row>
    <row r="10" spans="1:5" ht="21" x14ac:dyDescent="0.35">
      <c r="A10" s="12" t="s">
        <v>397</v>
      </c>
      <c r="B10" s="12" t="s">
        <v>31</v>
      </c>
      <c r="C10" s="12" t="s">
        <v>501</v>
      </c>
      <c r="D10" s="156" cm="1">
        <f t="array" aca="1" ref="D10" ca="1">IFERROR(
  _xlfn.XLOOKUP(
    "*TOTAL LOT*",
    INDIRECT("'"&amp;$A10&amp;"'!B:B"),
    INDIRECT("'"&amp;$A10&amp;"'!F:F"),
    "—",
    2,-1
  ),
  IFERROR(
    _xlfn.XLOOKUP(
      "TOTAL GENERAL TTC",
      INDIRECT("'"&amp;$A10&amp;"'!B:B"),
      INDIRECT("'"&amp;$A10&amp;"'!F:F"),
      "—",
      0,-1
    ),
  "—")
)</f>
        <v>56858134.57</v>
      </c>
      <c r="E10" s="12"/>
    </row>
    <row r="11" spans="1:5" ht="21" x14ac:dyDescent="0.35">
      <c r="A11" s="12" t="s">
        <v>32</v>
      </c>
      <c r="B11" s="12" t="s">
        <v>33</v>
      </c>
      <c r="C11" s="12" t="s">
        <v>501</v>
      </c>
      <c r="D11" s="156" cm="1">
        <f t="array" aca="1" ref="D11" ca="1">IFERROR(
  _xlfn.XLOOKUP(
    "*TOTAL LOT*",
    INDIRECT("'"&amp;$A11&amp;"'!B:B"),
    INDIRECT("'"&amp;$A11&amp;"'!F:F"),
    "—",
    2,-1
  ),
  IFERROR(
    _xlfn.XLOOKUP(
      "TOTAL GENERAL TTC",
      INDIRECT("'"&amp;$A11&amp;"'!B:B"),
      INDIRECT("'"&amp;$A11&amp;"'!F:F"),
      "—",
      0,-1
    ),
  "—")
)</f>
        <v>16699510</v>
      </c>
      <c r="E11" s="12"/>
    </row>
    <row r="12" spans="1:5" ht="21" x14ac:dyDescent="0.35">
      <c r="A12" s="12" t="s">
        <v>34</v>
      </c>
      <c r="B12" s="12" t="s">
        <v>39</v>
      </c>
      <c r="C12" s="12" t="s">
        <v>501</v>
      </c>
      <c r="D12" s="156" cm="1">
        <f t="array" aca="1" ref="D12" ca="1">IFERROR(
  _xlfn.XLOOKUP(
    "*TOTAL LOT*",
    INDIRECT("'"&amp;$A12&amp;"'!B:B"),
    INDIRECT("'"&amp;$A12&amp;"'!F:F"),
    "—",
    2,-1
  ),
  IFERROR(
    _xlfn.XLOOKUP(
      "TOTAL GENERAL TTC",
      INDIRECT("'"&amp;$A12&amp;"'!B:B"),
      INDIRECT("'"&amp;$A12&amp;"'!F:F"),
      "—",
      0,-1
    ),
  "—")
)</f>
        <v>37222</v>
      </c>
      <c r="E12" s="12"/>
    </row>
    <row r="13" spans="1:5" ht="21" x14ac:dyDescent="0.35">
      <c r="A13" s="12" t="s">
        <v>36</v>
      </c>
      <c r="B13" s="12" t="s">
        <v>35</v>
      </c>
      <c r="C13" s="12" t="s">
        <v>407</v>
      </c>
      <c r="D13" s="157" t="str" cm="1">
        <f t="array" aca="1" ref="D13" ca="1">IFERROR(
  _xlfn.XLOOKUP(
    "*TOTAL LOT*",
    INDIRECT("'"&amp;$A13&amp;"'!B:B"),
    INDIRECT("'"&amp;$A13&amp;"'!F:F"),
    "—",
    2,-1
  ),
  IFERROR(
    _xlfn.XLOOKUP(
      "TOTAL GENERAL TTC",
      INDIRECT("'"&amp;$A13&amp;"'!B:B"),
      INDIRECT("'"&amp;$A13&amp;"'!F:F"),
      "—",
      0,-1
    ),
  "—")
)</f>
        <v>9 254 500</v>
      </c>
      <c r="E13" s="12" t="s">
        <v>521</v>
      </c>
    </row>
    <row r="14" spans="1:5" ht="21" x14ac:dyDescent="0.35">
      <c r="A14" s="12" t="s">
        <v>38</v>
      </c>
      <c r="B14" s="12" t="s">
        <v>401</v>
      </c>
      <c r="C14" s="12" t="s">
        <v>512</v>
      </c>
      <c r="D14" s="156" cm="1">
        <f t="array" aca="1" ref="D14" ca="1">IFERROR(
  _xlfn.XLOOKUP(
    "*TOTAL LOT*",
    INDIRECT("'"&amp;$A14&amp;"'!B:B"),
    INDIRECT("'"&amp;$A14&amp;"'!F:F"),
    "—",
    2,-1
  ),
  IFERROR(
    _xlfn.XLOOKUP(
      "TOTAL GENERAL TTC",
      INDIRECT("'"&amp;$A14&amp;"'!B:B"),
      INDIRECT("'"&amp;$A14&amp;"'!F:F"),
      "—",
      0,-1
    ),
  "—")
)</f>
        <v>14720000</v>
      </c>
      <c r="E14" s="12"/>
    </row>
    <row r="15" spans="1:5" ht="21" x14ac:dyDescent="0.35">
      <c r="A15" s="12" t="s">
        <v>40</v>
      </c>
      <c r="B15" s="12" t="s">
        <v>402</v>
      </c>
      <c r="C15" s="12" t="s">
        <v>511</v>
      </c>
      <c r="D15" s="156" cm="1">
        <f t="array" aca="1" ref="D15" ca="1">IFERROR(
  _xlfn.XLOOKUP(
    "*TOTAL LOT*",
    INDIRECT("'"&amp;$A15&amp;"'!B:B"),
    INDIRECT("'"&amp;$A15&amp;"'!F:F"),
    "—",
    2,-1
  ),
  IFERROR(
    _xlfn.XLOOKUP(
      "TOTAL GENERAL TTC",
      INDIRECT("'"&amp;$A15&amp;"'!B:B"),
      INDIRECT("'"&amp;$A15&amp;"'!F:F"),
      "—",
      0,-1
    ),
  "—")
)</f>
        <v>25300000</v>
      </c>
      <c r="E15" s="12"/>
    </row>
    <row r="16" spans="1:5" ht="21" x14ac:dyDescent="0.35">
      <c r="A16" s="12" t="s">
        <v>41</v>
      </c>
      <c r="B16" s="12" t="s">
        <v>394</v>
      </c>
      <c r="C16" s="12" t="s">
        <v>176</v>
      </c>
      <c r="D16" s="156" cm="1">
        <f t="array" aca="1" ref="D16" ca="1">IFERROR(
  _xlfn.XLOOKUP(
    "*TOTAL LOT*",
    INDIRECT("'"&amp;$A16&amp;"'!B:B"),
    INDIRECT("'"&amp;$A16&amp;"'!F:F"),
    "—",
    2,-1
  ),
  IFERROR(
    _xlfn.XLOOKUP(
      "TOTAL GENERAL TTC",
      INDIRECT("'"&amp;$A16&amp;"'!B:B"),
      INDIRECT("'"&amp;$A16&amp;"'!F:F"),
      "—",
      0,-1
    ),
  "—")
)</f>
        <v>50000000</v>
      </c>
      <c r="E16" s="12" t="s">
        <v>516</v>
      </c>
    </row>
    <row r="17" spans="1:5" ht="21" x14ac:dyDescent="0.35">
      <c r="A17" s="12" t="s">
        <v>42</v>
      </c>
      <c r="B17" s="12" t="s">
        <v>37</v>
      </c>
      <c r="C17" s="12" t="s">
        <v>512</v>
      </c>
      <c r="D17" s="156" cm="1">
        <f t="array" aca="1" ref="D17" ca="1">IFERROR(
  _xlfn.XLOOKUP(
    "*TOTAL LOT*",
    INDIRECT("'"&amp;$A17&amp;"'!B:B"),
    INDIRECT("'"&amp;$A17&amp;"'!F:F"),
    "—",
    2,-1
  ),
  IFERROR(
    _xlfn.XLOOKUP(
      "TOTAL GENERAL TTC",
      INDIRECT("'"&amp;$A17&amp;"'!B:B"),
      INDIRECT("'"&amp;$A17&amp;"'!F:F"),
      "—",
      0,-1
    ),
  "—")
)</f>
        <v>8850000</v>
      </c>
      <c r="E17" s="12"/>
    </row>
    <row r="18" spans="1:5" ht="21" x14ac:dyDescent="0.35">
      <c r="A18" s="12" t="s">
        <v>43</v>
      </c>
      <c r="B18" s="12" t="s">
        <v>400</v>
      </c>
      <c r="C18" s="12" t="s">
        <v>511</v>
      </c>
      <c r="D18" s="156" cm="1">
        <f t="array" aca="1" ref="D18" ca="1">IFERROR(
  _xlfn.XLOOKUP(
    "*TOTAL LOT*",
    INDIRECT("'"&amp;$A18&amp;"'!B:B"),
    INDIRECT("'"&amp;$A18&amp;"'!F:F"),
    "—",
    2,-1
  ),
  IFERROR(
    _xlfn.XLOOKUP(
      "TOTAL GENERAL TTC",
      INDIRECT("'"&amp;$A18&amp;"'!B:B"),
      INDIRECT("'"&amp;$A18&amp;"'!F:F"),
      "—",
      0,-1
    ),
  "—")
)</f>
        <v>4062030</v>
      </c>
      <c r="E18" s="12"/>
    </row>
    <row r="19" spans="1:5" ht="21" x14ac:dyDescent="0.35">
      <c r="A19" s="12" t="s">
        <v>44</v>
      </c>
      <c r="B19" s="12" t="s">
        <v>398</v>
      </c>
      <c r="C19" s="12" t="s">
        <v>511</v>
      </c>
      <c r="D19" s="156" cm="1">
        <f t="array" aca="1" ref="D19" ca="1">IFERROR(
  _xlfn.XLOOKUP(
    "*TOTAL LOT*",
    INDIRECT("'"&amp;$A19&amp;"'!B:B"),
    INDIRECT("'"&amp;$A19&amp;"'!F:F"),
    "—",
    2,-1
  ),
  IFERROR(
    _xlfn.XLOOKUP(
      "TOTAL GENERAL TTC",
      INDIRECT("'"&amp;$A19&amp;"'!B:B"),
      INDIRECT("'"&amp;$A19&amp;"'!F:F"),
      "—",
      0,-1
    ),
  "—")
)</f>
        <v>18998000</v>
      </c>
      <c r="E19" s="12"/>
    </row>
    <row r="20" spans="1:5" ht="21" x14ac:dyDescent="0.35">
      <c r="A20" s="12" t="s">
        <v>405</v>
      </c>
      <c r="B20" s="12" t="s">
        <v>406</v>
      </c>
      <c r="C20" s="12" t="s">
        <v>501</v>
      </c>
      <c r="D20" s="156" cm="1">
        <f t="array" aca="1" ref="D20" ca="1">IFERROR(
  _xlfn.XLOOKUP(
    "*TOTAL LOT*",
    INDIRECT("'"&amp;$A20&amp;"'!B:B"),
    INDIRECT("'"&amp;$A20&amp;"'!F:F"),
    "—",
    2,-1
  ),
  IFERROR(
    _xlfn.XLOOKUP(
      "TOTAL GENERAL TTC",
      INDIRECT("'"&amp;$A20&amp;"'!B:B"),
      INDIRECT("'"&amp;$A20&amp;"'!F:F"),
      "—",
      0,-1
    ),
  "—")
)</f>
        <v>17411697.68</v>
      </c>
      <c r="E20" s="12"/>
    </row>
    <row r="21" spans="1:5" ht="21" x14ac:dyDescent="0.35">
      <c r="A21" s="12" t="s">
        <v>465</v>
      </c>
      <c r="B21" s="12" t="s">
        <v>466</v>
      </c>
      <c r="C21" s="12"/>
      <c r="D21" s="156" t="str" cm="1">
        <f t="array" aca="1" ref="D21" ca="1">IFERROR(
  _xlfn.XLOOKUP(
    "*TOTAL LOT*",
    INDIRECT("'"&amp;$A21&amp;"'!B:B"),
    INDIRECT("'"&amp;$A21&amp;"'!F:F"),
    "—",
    2,-1
  ),
  IFERROR(
    _xlfn.XLOOKUP(
      "TOTAL GENERAL TTC",
      INDIRECT("'"&amp;$A21&amp;"'!B:B"),
      INDIRECT("'"&amp;$A21&amp;"'!F:F"),
      "—",
      0,-1
    ),
  "—")
)</f>
        <v>—</v>
      </c>
      <c r="E21" s="12"/>
    </row>
    <row r="22" spans="1:5" ht="21" x14ac:dyDescent="0.35">
      <c r="A22" s="12" t="s">
        <v>499</v>
      </c>
      <c r="B22" s="12" t="s">
        <v>500</v>
      </c>
      <c r="C22" s="12" t="s">
        <v>511</v>
      </c>
      <c r="D22" s="156" cm="1">
        <f t="array" aca="1" ref="D22" ca="1">IFERROR(
  _xlfn.XLOOKUP(
    "*TOTAL LOT*",
    INDIRECT("'"&amp;$A22&amp;"'!B:B"),
    INDIRECT("'"&amp;$A22&amp;"'!F:F"),
    "—",
    2,-1
  ),
  IFERROR(
    _xlfn.XLOOKUP(
      "TOTAL GENERAL TTC",
      INDIRECT("'"&amp;$A22&amp;"'!B:B"),
      INDIRECT("'"&amp;$A22&amp;"'!F:F"),
      "—",
      0,-1
    ),
  "—")
)</f>
        <v>20728750</v>
      </c>
      <c r="E22" s="12" t="s">
        <v>516</v>
      </c>
    </row>
    <row r="26" spans="1:5" ht="21" x14ac:dyDescent="0.35">
      <c r="B26" s="98" t="s">
        <v>45</v>
      </c>
      <c r="D26" s="158">
        <f ca="1">SUM(D3:D22)</f>
        <v>331988544.25</v>
      </c>
    </row>
  </sheetData>
  <pageMargins left="0.3" right="0.3" top="0.5" bottom="0.5" header="0.5" footer="0.5"/>
  <pageSetup paperSize="9" scale="83" fitToHeight="0" orientation="landscape" horizontalDpi="4294967292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3"/>
  <sheetViews>
    <sheetView topLeftCell="A70" workbookViewId="0">
      <selection activeCell="F19" sqref="F1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82" customWidth="1"/>
    <col min="5" max="5" width="32.42578125" style="73" customWidth="1"/>
    <col min="6" max="6" width="27" style="108" customWidth="1"/>
  </cols>
  <sheetData>
    <row r="1" spans="1:10" x14ac:dyDescent="0.25">
      <c r="B1" t="s">
        <v>46</v>
      </c>
    </row>
    <row r="13" spans="1:10" x14ac:dyDescent="0.25">
      <c r="A13" s="12" t="s">
        <v>47</v>
      </c>
      <c r="B13" s="12" t="s">
        <v>48</v>
      </c>
      <c r="C13" s="12" t="s">
        <v>49</v>
      </c>
      <c r="D13" s="83" t="s">
        <v>50</v>
      </c>
      <c r="E13" s="74" t="s">
        <v>51</v>
      </c>
      <c r="F13" s="107" t="s">
        <v>22</v>
      </c>
      <c r="G13" t="s">
        <v>307</v>
      </c>
      <c r="J13" t="s">
        <v>281</v>
      </c>
    </row>
    <row r="15" spans="1:10" x14ac:dyDescent="0.25">
      <c r="A15" s="67"/>
      <c r="B15" s="67" t="s">
        <v>52</v>
      </c>
      <c r="C15" s="67"/>
      <c r="D15" s="84"/>
      <c r="E15" s="75"/>
      <c r="F15" s="109"/>
    </row>
    <row r="16" spans="1:10" x14ac:dyDescent="0.25">
      <c r="A16" s="12" t="s">
        <v>53</v>
      </c>
      <c r="B16" s="12" t="s">
        <v>54</v>
      </c>
      <c r="C16" s="12" t="s">
        <v>55</v>
      </c>
      <c r="D16" s="83">
        <v>1</v>
      </c>
      <c r="E16" s="74">
        <v>1200000</v>
      </c>
      <c r="F16" s="107">
        <f>E16*D16</f>
        <v>1200000</v>
      </c>
    </row>
    <row r="17" spans="1:7" x14ac:dyDescent="0.25">
      <c r="A17" s="12" t="s">
        <v>56</v>
      </c>
      <c r="B17" s="12" t="s">
        <v>57</v>
      </c>
      <c r="C17" s="12" t="s">
        <v>55</v>
      </c>
      <c r="D17" s="83">
        <v>1</v>
      </c>
      <c r="E17" s="74">
        <v>960000</v>
      </c>
      <c r="F17" s="107">
        <f>E17*D17</f>
        <v>960000</v>
      </c>
    </row>
    <row r="18" spans="1:7" x14ac:dyDescent="0.25">
      <c r="A18" s="12" t="s">
        <v>58</v>
      </c>
      <c r="B18" s="12" t="s">
        <v>59</v>
      </c>
      <c r="C18" s="12" t="s">
        <v>55</v>
      </c>
      <c r="D18" s="83">
        <v>1</v>
      </c>
      <c r="E18" s="74"/>
      <c r="F18" s="107"/>
      <c r="G18" s="72" t="s">
        <v>60</v>
      </c>
    </row>
    <row r="19" spans="1:7" x14ac:dyDescent="0.25">
      <c r="A19" s="12" t="s">
        <v>61</v>
      </c>
      <c r="B19" s="12" t="s">
        <v>62</v>
      </c>
      <c r="C19" s="12" t="s">
        <v>63</v>
      </c>
      <c r="D19" s="83">
        <v>480</v>
      </c>
      <c r="E19" s="74">
        <v>12000000</v>
      </c>
      <c r="F19" s="107">
        <v>12000000</v>
      </c>
    </row>
    <row r="20" spans="1:7" x14ac:dyDescent="0.25">
      <c r="A20" s="12" t="s">
        <v>64</v>
      </c>
      <c r="B20" s="12" t="s">
        <v>65</v>
      </c>
      <c r="C20" s="12" t="s">
        <v>55</v>
      </c>
      <c r="D20" s="83">
        <v>1</v>
      </c>
      <c r="E20" s="74"/>
      <c r="F20" s="107"/>
      <c r="G20" t="s">
        <v>60</v>
      </c>
    </row>
    <row r="21" spans="1:7" x14ac:dyDescent="0.25">
      <c r="A21" s="12" t="s">
        <v>66</v>
      </c>
      <c r="B21" s="12" t="s">
        <v>67</v>
      </c>
      <c r="C21" s="12" t="s">
        <v>55</v>
      </c>
      <c r="D21" s="83">
        <v>1</v>
      </c>
      <c r="E21" s="74"/>
      <c r="F21" s="107"/>
      <c r="G21" t="s">
        <v>60</v>
      </c>
    </row>
    <row r="22" spans="1:7" ht="18.75" x14ac:dyDescent="0.3">
      <c r="A22" s="12"/>
      <c r="B22" s="12"/>
      <c r="C22" s="12"/>
      <c r="D22" s="83"/>
      <c r="E22" s="76" t="s">
        <v>68</v>
      </c>
      <c r="F22" s="116">
        <f>SUM(F16:F21)</f>
        <v>14160000</v>
      </c>
    </row>
    <row r="24" spans="1:7" x14ac:dyDescent="0.25">
      <c r="A24" s="68"/>
      <c r="B24" s="68" t="s">
        <v>69</v>
      </c>
      <c r="C24" s="68"/>
      <c r="D24" s="86"/>
      <c r="E24" s="77"/>
      <c r="F24" s="110"/>
    </row>
    <row r="25" spans="1:7" x14ac:dyDescent="0.25">
      <c r="A25" s="12" t="s">
        <v>70</v>
      </c>
      <c r="B25" s="12" t="s">
        <v>71</v>
      </c>
      <c r="C25" s="12" t="s">
        <v>72</v>
      </c>
      <c r="D25" s="83">
        <v>1</v>
      </c>
      <c r="E25" s="74">
        <v>1200000</v>
      </c>
      <c r="F25" s="107">
        <v>1200000</v>
      </c>
    </row>
    <row r="26" spans="1:7" x14ac:dyDescent="0.25">
      <c r="A26" s="12" t="s">
        <v>73</v>
      </c>
      <c r="B26" s="12" t="s">
        <v>74</v>
      </c>
      <c r="C26" s="12" t="s">
        <v>72</v>
      </c>
      <c r="D26" s="83">
        <v>1</v>
      </c>
      <c r="E26" s="74">
        <v>650000</v>
      </c>
      <c r="F26" s="107">
        <v>650000</v>
      </c>
    </row>
    <row r="27" spans="1:7" x14ac:dyDescent="0.25">
      <c r="A27" s="12" t="s">
        <v>75</v>
      </c>
      <c r="B27" s="12" t="s">
        <v>76</v>
      </c>
      <c r="C27" s="12" t="s">
        <v>63</v>
      </c>
      <c r="D27" s="83">
        <v>460</v>
      </c>
      <c r="E27" s="74">
        <v>2100</v>
      </c>
      <c r="F27" s="107">
        <f>E27*D27</f>
        <v>966000</v>
      </c>
    </row>
    <row r="28" spans="1:7" ht="18.75" x14ac:dyDescent="0.3">
      <c r="A28" s="12"/>
      <c r="B28" s="12"/>
      <c r="C28" s="12"/>
      <c r="D28" s="83"/>
      <c r="E28" s="76" t="s">
        <v>77</v>
      </c>
      <c r="F28" s="116">
        <f>SUM(F25:F27)</f>
        <v>2816000</v>
      </c>
    </row>
    <row r="29" spans="1:7" x14ac:dyDescent="0.25">
      <c r="A29" s="12"/>
      <c r="B29" s="12"/>
      <c r="C29" s="12"/>
      <c r="D29" s="83"/>
      <c r="E29" s="74"/>
      <c r="F29" s="107"/>
    </row>
    <row r="30" spans="1:7" x14ac:dyDescent="0.25">
      <c r="A30" s="69"/>
      <c r="B30" s="69" t="s">
        <v>78</v>
      </c>
      <c r="C30" s="69"/>
      <c r="D30" s="87"/>
      <c r="E30" s="78"/>
      <c r="F30" s="111"/>
    </row>
    <row r="31" spans="1:7" x14ac:dyDescent="0.25">
      <c r="A31" s="12" t="s">
        <v>79</v>
      </c>
      <c r="B31" s="12" t="s">
        <v>80</v>
      </c>
      <c r="C31" s="12" t="s">
        <v>81</v>
      </c>
      <c r="D31" s="83">
        <v>1.9</v>
      </c>
      <c r="E31" s="74">
        <v>87000</v>
      </c>
      <c r="F31" s="107">
        <f>E31*D31</f>
        <v>165300</v>
      </c>
    </row>
    <row r="32" spans="1:7" x14ac:dyDescent="0.25">
      <c r="A32" s="12" t="s">
        <v>82</v>
      </c>
      <c r="B32" s="12" t="s">
        <v>83</v>
      </c>
      <c r="C32" s="12" t="s">
        <v>81</v>
      </c>
      <c r="D32" s="83">
        <v>1.8</v>
      </c>
      <c r="E32" s="74">
        <v>140000</v>
      </c>
      <c r="F32" s="107">
        <f t="shared" ref="F32:F44" si="0">E32*D32</f>
        <v>252000</v>
      </c>
    </row>
    <row r="33" spans="1:6" x14ac:dyDescent="0.25">
      <c r="A33" s="12" t="s">
        <v>84</v>
      </c>
      <c r="B33" s="12" t="s">
        <v>85</v>
      </c>
      <c r="C33" s="12" t="s">
        <v>63</v>
      </c>
      <c r="D33" s="83">
        <v>8.8000000000000007</v>
      </c>
      <c r="E33" s="74">
        <v>14000</v>
      </c>
      <c r="F33" s="107">
        <f t="shared" si="0"/>
        <v>123200.00000000001</v>
      </c>
    </row>
    <row r="34" spans="1:6" x14ac:dyDescent="0.25">
      <c r="A34" s="12" t="s">
        <v>86</v>
      </c>
      <c r="B34" s="12" t="s">
        <v>87</v>
      </c>
      <c r="C34" s="12" t="s">
        <v>88</v>
      </c>
      <c r="D34" s="83">
        <v>176</v>
      </c>
      <c r="E34" s="74">
        <v>1850</v>
      </c>
      <c r="F34" s="107">
        <f t="shared" si="0"/>
        <v>325600</v>
      </c>
    </row>
    <row r="35" spans="1:6" x14ac:dyDescent="0.25">
      <c r="A35" s="12" t="s">
        <v>89</v>
      </c>
      <c r="B35" s="12" t="s">
        <v>90</v>
      </c>
      <c r="C35" s="12" t="s">
        <v>81</v>
      </c>
      <c r="D35" s="83">
        <v>1</v>
      </c>
      <c r="E35" s="74">
        <v>140000</v>
      </c>
      <c r="F35" s="107">
        <f t="shared" si="0"/>
        <v>140000</v>
      </c>
    </row>
    <row r="36" spans="1:6" x14ac:dyDescent="0.25">
      <c r="A36" s="12" t="s">
        <v>91</v>
      </c>
      <c r="B36" s="12" t="s">
        <v>92</v>
      </c>
      <c r="C36" s="12" t="s">
        <v>63</v>
      </c>
      <c r="D36" s="83">
        <v>20</v>
      </c>
      <c r="E36" s="74">
        <v>14000</v>
      </c>
      <c r="F36" s="107">
        <f t="shared" si="0"/>
        <v>280000</v>
      </c>
    </row>
    <row r="37" spans="1:6" x14ac:dyDescent="0.25">
      <c r="A37" s="12" t="s">
        <v>93</v>
      </c>
      <c r="B37" s="12" t="s">
        <v>94</v>
      </c>
      <c r="C37" s="12" t="s">
        <v>88</v>
      </c>
      <c r="D37" s="83">
        <v>120</v>
      </c>
      <c r="E37" s="74">
        <v>1850</v>
      </c>
      <c r="F37" s="107">
        <f t="shared" si="0"/>
        <v>222000</v>
      </c>
    </row>
    <row r="38" spans="1:6" x14ac:dyDescent="0.25">
      <c r="A38" s="12" t="s">
        <v>95</v>
      </c>
      <c r="B38" s="12" t="s">
        <v>96</v>
      </c>
      <c r="C38" s="12" t="s">
        <v>81</v>
      </c>
      <c r="D38" s="83">
        <v>2.5</v>
      </c>
      <c r="E38" s="74">
        <v>140000</v>
      </c>
      <c r="F38" s="107">
        <f t="shared" si="0"/>
        <v>350000</v>
      </c>
    </row>
    <row r="39" spans="1:6" x14ac:dyDescent="0.25">
      <c r="A39" s="12" t="s">
        <v>97</v>
      </c>
      <c r="B39" s="12" t="s">
        <v>98</v>
      </c>
      <c r="C39" s="12" t="s">
        <v>63</v>
      </c>
      <c r="D39" s="83">
        <v>25</v>
      </c>
      <c r="E39" s="74">
        <v>14000</v>
      </c>
      <c r="F39" s="107">
        <f t="shared" si="0"/>
        <v>350000</v>
      </c>
    </row>
    <row r="40" spans="1:6" x14ac:dyDescent="0.25">
      <c r="A40" s="12" t="s">
        <v>99</v>
      </c>
      <c r="B40" s="12" t="s">
        <v>100</v>
      </c>
      <c r="C40" s="12" t="s">
        <v>88</v>
      </c>
      <c r="D40" s="83">
        <v>320</v>
      </c>
      <c r="E40" s="74">
        <v>1850</v>
      </c>
      <c r="F40" s="107">
        <f t="shared" si="0"/>
        <v>592000</v>
      </c>
    </row>
    <row r="41" spans="1:6" x14ac:dyDescent="0.25">
      <c r="A41" s="12" t="s">
        <v>101</v>
      </c>
      <c r="B41" s="12" t="s">
        <v>102</v>
      </c>
      <c r="C41" s="12" t="s">
        <v>81</v>
      </c>
      <c r="D41" s="83">
        <v>35</v>
      </c>
      <c r="E41" s="74">
        <v>130000</v>
      </c>
      <c r="F41" s="107">
        <f t="shared" si="0"/>
        <v>4550000</v>
      </c>
    </row>
    <row r="42" spans="1:6" x14ac:dyDescent="0.25">
      <c r="A42" s="12" t="s">
        <v>103</v>
      </c>
      <c r="B42" s="12" t="s">
        <v>104</v>
      </c>
      <c r="C42" s="12" t="s">
        <v>63</v>
      </c>
      <c r="D42" s="83">
        <v>70</v>
      </c>
      <c r="E42" s="74">
        <v>14000</v>
      </c>
      <c r="F42" s="107">
        <f t="shared" si="0"/>
        <v>980000</v>
      </c>
    </row>
    <row r="43" spans="1:6" x14ac:dyDescent="0.25">
      <c r="A43" s="12" t="s">
        <v>105</v>
      </c>
      <c r="B43" s="12" t="s">
        <v>106</v>
      </c>
      <c r="C43" s="12" t="s">
        <v>88</v>
      </c>
      <c r="D43" s="83">
        <v>2436</v>
      </c>
      <c r="E43" s="74">
        <v>1850</v>
      </c>
      <c r="F43" s="107">
        <f t="shared" si="0"/>
        <v>4506600</v>
      </c>
    </row>
    <row r="44" spans="1:6" x14ac:dyDescent="0.25">
      <c r="A44" s="12" t="s">
        <v>107</v>
      </c>
      <c r="B44" s="12" t="s">
        <v>108</v>
      </c>
      <c r="C44" s="12" t="s">
        <v>63</v>
      </c>
      <c r="D44" s="83">
        <v>72</v>
      </c>
      <c r="E44" s="74">
        <v>60000</v>
      </c>
      <c r="F44" s="107">
        <f t="shared" si="0"/>
        <v>4320000</v>
      </c>
    </row>
    <row r="45" spans="1:6" ht="18.75" x14ac:dyDescent="0.3">
      <c r="A45" s="12"/>
      <c r="B45" s="12"/>
      <c r="C45" s="12"/>
      <c r="D45" s="83"/>
      <c r="E45" s="76" t="s">
        <v>378</v>
      </c>
      <c r="F45" s="116">
        <f>SUM(F31:F44)</f>
        <v>17156700</v>
      </c>
    </row>
    <row r="46" spans="1:6" x14ac:dyDescent="0.25">
      <c r="A46" s="12"/>
      <c r="B46" s="12"/>
      <c r="C46" s="12"/>
      <c r="D46" s="83"/>
      <c r="E46" s="74"/>
      <c r="F46" s="107"/>
    </row>
    <row r="47" spans="1:6" x14ac:dyDescent="0.25">
      <c r="A47" s="70"/>
      <c r="B47" s="70" t="s">
        <v>109</v>
      </c>
      <c r="C47" s="70"/>
      <c r="D47" s="88"/>
      <c r="E47" s="79"/>
      <c r="F47" s="112"/>
    </row>
    <row r="48" spans="1:6" x14ac:dyDescent="0.25">
      <c r="A48" s="12" t="s">
        <v>110</v>
      </c>
      <c r="B48" s="12" t="s">
        <v>111</v>
      </c>
      <c r="C48" s="12" t="s">
        <v>81</v>
      </c>
      <c r="D48" s="83">
        <v>30.3</v>
      </c>
      <c r="E48" s="105">
        <v>130000</v>
      </c>
      <c r="F48" s="107">
        <f t="shared" ref="F48:F50" si="1">E48*D48</f>
        <v>3939000</v>
      </c>
    </row>
    <row r="49" spans="1:6" x14ac:dyDescent="0.25">
      <c r="A49" s="12" t="s">
        <v>112</v>
      </c>
      <c r="B49" s="12" t="s">
        <v>113</v>
      </c>
      <c r="C49" s="12" t="s">
        <v>63</v>
      </c>
      <c r="D49" s="83">
        <v>11</v>
      </c>
      <c r="E49" s="105">
        <v>14000</v>
      </c>
      <c r="F49" s="107">
        <f t="shared" si="1"/>
        <v>154000</v>
      </c>
    </row>
    <row r="50" spans="1:6" x14ac:dyDescent="0.25">
      <c r="A50" s="12" t="s">
        <v>114</v>
      </c>
      <c r="B50" s="12" t="s">
        <v>115</v>
      </c>
      <c r="C50" s="12" t="s">
        <v>88</v>
      </c>
      <c r="D50" s="83">
        <v>1818</v>
      </c>
      <c r="E50" s="105">
        <v>1850</v>
      </c>
      <c r="F50" s="107">
        <f t="shared" si="1"/>
        <v>3363300</v>
      </c>
    </row>
    <row r="51" spans="1:6" ht="18.75" x14ac:dyDescent="0.3">
      <c r="A51" s="12"/>
      <c r="B51" s="12"/>
      <c r="C51" s="12"/>
      <c r="D51" s="83"/>
      <c r="E51" s="76" t="s">
        <v>379</v>
      </c>
      <c r="F51" s="116">
        <f>SUM(F48:F50)</f>
        <v>7456300</v>
      </c>
    </row>
    <row r="52" spans="1:6" x14ac:dyDescent="0.25">
      <c r="A52" s="12"/>
      <c r="B52" s="12"/>
      <c r="C52" s="12"/>
      <c r="D52" s="83"/>
      <c r="E52" s="74"/>
      <c r="F52" s="107"/>
    </row>
    <row r="53" spans="1:6" x14ac:dyDescent="0.25">
      <c r="A53" s="71"/>
      <c r="B53" s="71" t="s">
        <v>116</v>
      </c>
      <c r="C53" s="71"/>
      <c r="D53" s="89"/>
      <c r="E53" s="80"/>
      <c r="F53" s="113"/>
    </row>
    <row r="54" spans="1:6" x14ac:dyDescent="0.25">
      <c r="A54" s="12" t="s">
        <v>117</v>
      </c>
      <c r="B54" s="12" t="s">
        <v>118</v>
      </c>
      <c r="C54" s="12" t="s">
        <v>81</v>
      </c>
      <c r="D54" s="83">
        <v>9.5</v>
      </c>
      <c r="E54" s="115">
        <v>130000</v>
      </c>
      <c r="F54" s="107">
        <v>0</v>
      </c>
    </row>
    <row r="55" spans="1:6" x14ac:dyDescent="0.25">
      <c r="A55" s="12" t="s">
        <v>119</v>
      </c>
      <c r="B55" s="12" t="s">
        <v>120</v>
      </c>
      <c r="C55" s="12" t="s">
        <v>63</v>
      </c>
      <c r="D55" s="83">
        <v>52</v>
      </c>
      <c r="E55" s="115">
        <v>14000</v>
      </c>
      <c r="F55" s="107">
        <v>0</v>
      </c>
    </row>
    <row r="56" spans="1:6" x14ac:dyDescent="0.25">
      <c r="A56" s="12" t="s">
        <v>121</v>
      </c>
      <c r="B56" s="12" t="s">
        <v>122</v>
      </c>
      <c r="C56" s="12" t="s">
        <v>88</v>
      </c>
      <c r="D56" s="83">
        <v>1114</v>
      </c>
      <c r="E56" s="115">
        <v>1850</v>
      </c>
      <c r="F56" s="107">
        <v>0</v>
      </c>
    </row>
    <row r="57" spans="1:6" x14ac:dyDescent="0.25">
      <c r="A57" s="12" t="s">
        <v>123</v>
      </c>
      <c r="B57" s="12" t="s">
        <v>124</v>
      </c>
      <c r="C57" s="12" t="s">
        <v>81</v>
      </c>
      <c r="D57" s="83">
        <v>4</v>
      </c>
      <c r="E57" s="115">
        <v>130000</v>
      </c>
      <c r="F57" s="107">
        <f t="shared" ref="F57:F73" si="2">E57*D57</f>
        <v>520000</v>
      </c>
    </row>
    <row r="58" spans="1:6" x14ac:dyDescent="0.25">
      <c r="A58" s="12" t="s">
        <v>125</v>
      </c>
      <c r="B58" s="12" t="s">
        <v>126</v>
      </c>
      <c r="C58" s="12" t="s">
        <v>63</v>
      </c>
      <c r="D58" s="83">
        <v>30</v>
      </c>
      <c r="E58" s="115">
        <v>11000</v>
      </c>
      <c r="F58" s="107">
        <f t="shared" si="2"/>
        <v>330000</v>
      </c>
    </row>
    <row r="59" spans="1:6" x14ac:dyDescent="0.25">
      <c r="A59" s="12" t="s">
        <v>127</v>
      </c>
      <c r="B59" s="12" t="s">
        <v>128</v>
      </c>
      <c r="C59" s="12" t="s">
        <v>63</v>
      </c>
      <c r="D59" s="83">
        <v>30</v>
      </c>
      <c r="E59" s="115">
        <v>10000</v>
      </c>
      <c r="F59" s="107">
        <f t="shared" si="2"/>
        <v>300000</v>
      </c>
    </row>
    <row r="60" spans="1:6" x14ac:dyDescent="0.25">
      <c r="A60" s="12" t="s">
        <v>129</v>
      </c>
      <c r="B60" s="12" t="s">
        <v>130</v>
      </c>
      <c r="C60" s="12" t="s">
        <v>88</v>
      </c>
      <c r="D60" s="83">
        <v>324</v>
      </c>
      <c r="E60" s="115">
        <v>1850</v>
      </c>
      <c r="F60" s="107">
        <f t="shared" si="2"/>
        <v>599400</v>
      </c>
    </row>
    <row r="61" spans="1:6" x14ac:dyDescent="0.25">
      <c r="A61" s="12" t="s">
        <v>131</v>
      </c>
      <c r="B61" s="12" t="s">
        <v>132</v>
      </c>
      <c r="C61" s="12" t="s">
        <v>63</v>
      </c>
      <c r="D61" s="83">
        <v>573</v>
      </c>
      <c r="E61" s="115">
        <v>13000</v>
      </c>
      <c r="F61" s="107">
        <f t="shared" si="2"/>
        <v>7449000</v>
      </c>
    </row>
    <row r="62" spans="1:6" x14ac:dyDescent="0.25">
      <c r="A62" s="12" t="s">
        <v>133</v>
      </c>
      <c r="B62" s="12" t="s">
        <v>134</v>
      </c>
      <c r="C62" s="12" t="s">
        <v>63</v>
      </c>
      <c r="D62" s="83">
        <v>1145</v>
      </c>
      <c r="E62" s="115">
        <v>9500</v>
      </c>
      <c r="F62" s="107">
        <f t="shared" si="2"/>
        <v>10877500</v>
      </c>
    </row>
    <row r="63" spans="1:6" x14ac:dyDescent="0.25">
      <c r="A63" s="12" t="s">
        <v>135</v>
      </c>
      <c r="B63" s="12" t="s">
        <v>136</v>
      </c>
      <c r="C63" s="12" t="s">
        <v>63</v>
      </c>
      <c r="D63" s="83">
        <v>30</v>
      </c>
      <c r="E63" s="115">
        <v>13500</v>
      </c>
      <c r="F63" s="107">
        <f t="shared" si="2"/>
        <v>405000</v>
      </c>
    </row>
    <row r="64" spans="1:6" x14ac:dyDescent="0.25">
      <c r="A64" s="12" t="s">
        <v>137</v>
      </c>
      <c r="B64" s="12" t="s">
        <v>138</v>
      </c>
      <c r="C64" s="12" t="s">
        <v>55</v>
      </c>
      <c r="D64" s="83">
        <v>1</v>
      </c>
      <c r="E64" s="115"/>
      <c r="F64" s="107">
        <f t="shared" si="2"/>
        <v>0</v>
      </c>
    </row>
    <row r="65" spans="1:6" x14ac:dyDescent="0.25">
      <c r="A65" s="12" t="s">
        <v>139</v>
      </c>
      <c r="B65" s="12" t="s">
        <v>140</v>
      </c>
      <c r="C65" s="12" t="s">
        <v>55</v>
      </c>
      <c r="D65" s="83">
        <v>1</v>
      </c>
      <c r="E65" s="115"/>
      <c r="F65" s="107">
        <f t="shared" si="2"/>
        <v>0</v>
      </c>
    </row>
    <row r="66" spans="1:6" x14ac:dyDescent="0.25">
      <c r="A66" s="12" t="s">
        <v>141</v>
      </c>
      <c r="B66" s="12" t="s">
        <v>142</v>
      </c>
      <c r="C66" s="12" t="s">
        <v>81</v>
      </c>
      <c r="D66" s="83">
        <v>5.6</v>
      </c>
      <c r="E66" s="115">
        <v>130000</v>
      </c>
      <c r="F66" s="107">
        <f t="shared" si="2"/>
        <v>728000</v>
      </c>
    </row>
    <row r="67" spans="1:6" x14ac:dyDescent="0.25">
      <c r="A67" s="12" t="s">
        <v>143</v>
      </c>
      <c r="B67" s="12" t="s">
        <v>144</v>
      </c>
      <c r="C67" s="12" t="s">
        <v>63</v>
      </c>
      <c r="D67" s="83">
        <v>5</v>
      </c>
      <c r="E67" s="115">
        <v>17000</v>
      </c>
      <c r="F67" s="107">
        <f t="shared" si="2"/>
        <v>85000</v>
      </c>
    </row>
    <row r="68" spans="1:6" x14ac:dyDescent="0.25">
      <c r="A68" s="12" t="s">
        <v>145</v>
      </c>
      <c r="B68" s="12" t="s">
        <v>146</v>
      </c>
      <c r="C68" s="12" t="s">
        <v>81</v>
      </c>
      <c r="D68" s="83">
        <v>1.5</v>
      </c>
      <c r="E68" s="115">
        <v>140000</v>
      </c>
      <c r="F68" s="107">
        <f t="shared" si="2"/>
        <v>210000</v>
      </c>
    </row>
    <row r="69" spans="1:6" x14ac:dyDescent="0.25">
      <c r="A69" s="12" t="s">
        <v>147</v>
      </c>
      <c r="B69" s="12" t="s">
        <v>148</v>
      </c>
      <c r="C69" s="12" t="s">
        <v>63</v>
      </c>
      <c r="D69" s="83">
        <v>18</v>
      </c>
      <c r="E69" s="115">
        <v>14000</v>
      </c>
      <c r="F69" s="107">
        <f t="shared" si="2"/>
        <v>252000</v>
      </c>
    </row>
    <row r="70" spans="1:6" x14ac:dyDescent="0.25">
      <c r="A70" s="12" t="s">
        <v>149</v>
      </c>
      <c r="B70" s="12" t="s">
        <v>150</v>
      </c>
      <c r="C70" s="12" t="s">
        <v>88</v>
      </c>
      <c r="D70" s="83">
        <v>84</v>
      </c>
      <c r="E70" s="115">
        <v>1850</v>
      </c>
      <c r="F70" s="107">
        <f t="shared" si="2"/>
        <v>155400</v>
      </c>
    </row>
    <row r="71" spans="1:6" x14ac:dyDescent="0.25">
      <c r="A71" s="12" t="s">
        <v>151</v>
      </c>
      <c r="B71" s="12" t="s">
        <v>152</v>
      </c>
      <c r="C71" s="12" t="s">
        <v>63</v>
      </c>
      <c r="D71" s="83">
        <v>152</v>
      </c>
      <c r="E71" s="115">
        <v>13000</v>
      </c>
      <c r="F71" s="107">
        <f t="shared" si="2"/>
        <v>1976000</v>
      </c>
    </row>
    <row r="72" spans="1:6" x14ac:dyDescent="0.25">
      <c r="A72" s="12" t="s">
        <v>153</v>
      </c>
      <c r="B72" s="12" t="s">
        <v>154</v>
      </c>
      <c r="C72" s="12" t="s">
        <v>63</v>
      </c>
      <c r="D72" s="83">
        <v>555</v>
      </c>
      <c r="E72" s="115">
        <v>9500</v>
      </c>
      <c r="F72" s="107">
        <f t="shared" si="2"/>
        <v>5272500</v>
      </c>
    </row>
    <row r="73" spans="1:6" x14ac:dyDescent="0.25">
      <c r="A73" s="12" t="s">
        <v>155</v>
      </c>
      <c r="B73" s="12" t="s">
        <v>156</v>
      </c>
      <c r="C73" s="12" t="s">
        <v>63</v>
      </c>
      <c r="D73" s="83">
        <v>180</v>
      </c>
      <c r="E73" s="115">
        <v>13500</v>
      </c>
      <c r="F73" s="107">
        <f t="shared" si="2"/>
        <v>2430000</v>
      </c>
    </row>
    <row r="74" spans="1:6" x14ac:dyDescent="0.25">
      <c r="A74" s="12" t="s">
        <v>157</v>
      </c>
      <c r="B74" s="12" t="s">
        <v>158</v>
      </c>
      <c r="C74" s="12" t="s">
        <v>63</v>
      </c>
      <c r="D74" s="83" t="s">
        <v>72</v>
      </c>
      <c r="E74" s="74" t="s">
        <v>72</v>
      </c>
      <c r="F74" s="107">
        <v>180000</v>
      </c>
    </row>
    <row r="75" spans="1:6" ht="18.75" x14ac:dyDescent="0.3">
      <c r="E75" s="81" t="s">
        <v>159</v>
      </c>
      <c r="F75" s="117">
        <f>SUM(F54:F74)</f>
        <v>31769800</v>
      </c>
    </row>
    <row r="77" spans="1:6" ht="21" x14ac:dyDescent="0.35">
      <c r="B77" s="98" t="s">
        <v>160</v>
      </c>
      <c r="F77" s="114">
        <v>0</v>
      </c>
    </row>
    <row r="79" spans="1:6" x14ac:dyDescent="0.25">
      <c r="B79" t="s">
        <v>161</v>
      </c>
    </row>
    <row r="80" spans="1:6" x14ac:dyDescent="0.25">
      <c r="B80" t="s">
        <v>162</v>
      </c>
    </row>
    <row r="81" spans="2:2" x14ac:dyDescent="0.25">
      <c r="B81" t="s">
        <v>163</v>
      </c>
    </row>
    <row r="83" spans="2:2" x14ac:dyDescent="0.25">
      <c r="B83" t="s">
        <v>164</v>
      </c>
    </row>
  </sheetData>
  <sheetProtection formatCells="0" formatColumns="0" formatRows="0" insertColumns="0" insertRows="0" insertHyperlinks="0" deleteColumns="0" deleteRows="0" sort="0" autoFilter="0" pivotTables="0"/>
  <dataConsolidate function="count"/>
  <conditionalFormatting sqref="E48:E50">
    <cfRule type="duplicateValues" dxfId="0" priority="1"/>
  </conditionalFormatting>
  <pageMargins left="0.3" right="0.3" top="0.5" bottom="0.5" header="0.5" footer="0.5"/>
  <pageSetup paperSize="9" scale="76" fitToHeight="0" orientation="landscape" horizontalDpi="4294967292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0781-E960-4CC1-9A78-000BE3058B00}">
  <sheetPr>
    <pageSetUpPr fitToPage="1"/>
  </sheetPr>
  <dimension ref="A1:G80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82" customWidth="1"/>
    <col min="5" max="5" width="32.42578125" style="82" customWidth="1"/>
    <col min="6" max="6" width="27" style="34" customWidth="1"/>
  </cols>
  <sheetData>
    <row r="1" spans="1:7" x14ac:dyDescent="0.25">
      <c r="A1" t="s">
        <v>518</v>
      </c>
    </row>
    <row r="10" spans="1:7" x14ac:dyDescent="0.25">
      <c r="A10" s="12" t="s">
        <v>47</v>
      </c>
      <c r="B10" s="12" t="s">
        <v>48</v>
      </c>
      <c r="C10" s="12" t="s">
        <v>49</v>
      </c>
      <c r="D10" s="83" t="s">
        <v>50</v>
      </c>
      <c r="E10" s="83" t="s">
        <v>51</v>
      </c>
      <c r="F10" s="47" t="s">
        <v>22</v>
      </c>
      <c r="G10" t="s">
        <v>307</v>
      </c>
    </row>
    <row r="12" spans="1:7" x14ac:dyDescent="0.25">
      <c r="A12" s="67"/>
      <c r="B12" s="67" t="s">
        <v>52</v>
      </c>
      <c r="C12" s="67"/>
      <c r="D12" s="84"/>
      <c r="E12" s="84"/>
      <c r="F12" s="91"/>
    </row>
    <row r="13" spans="1:7" x14ac:dyDescent="0.25">
      <c r="A13" s="12" t="s">
        <v>53</v>
      </c>
      <c r="B13" s="12" t="s">
        <v>54</v>
      </c>
      <c r="C13" s="12" t="s">
        <v>55</v>
      </c>
      <c r="D13" s="83">
        <v>1</v>
      </c>
      <c r="E13" s="47">
        <v>1200000</v>
      </c>
      <c r="F13" s="47">
        <v>1200000</v>
      </c>
    </row>
    <row r="14" spans="1:7" x14ac:dyDescent="0.25">
      <c r="A14" s="12" t="s">
        <v>56</v>
      </c>
      <c r="B14" s="12" t="s">
        <v>57</v>
      </c>
      <c r="C14" s="12" t="s">
        <v>55</v>
      </c>
      <c r="D14" s="83">
        <v>1</v>
      </c>
      <c r="E14" s="47">
        <v>960000</v>
      </c>
      <c r="F14" s="47">
        <v>960000</v>
      </c>
    </row>
    <row r="15" spans="1:7" x14ac:dyDescent="0.25">
      <c r="A15" s="12" t="s">
        <v>58</v>
      </c>
      <c r="B15" s="12" t="s">
        <v>59</v>
      </c>
      <c r="C15" s="12" t="s">
        <v>55</v>
      </c>
      <c r="D15" s="83">
        <v>1</v>
      </c>
      <c r="E15" s="47"/>
      <c r="F15" s="47"/>
      <c r="G15" s="72" t="s">
        <v>60</v>
      </c>
    </row>
    <row r="16" spans="1:7" x14ac:dyDescent="0.25">
      <c r="A16" s="12" t="s">
        <v>61</v>
      </c>
      <c r="B16" s="12" t="s">
        <v>62</v>
      </c>
      <c r="C16" s="12" t="s">
        <v>63</v>
      </c>
      <c r="D16" s="83">
        <v>480</v>
      </c>
      <c r="E16" s="47">
        <v>12000000</v>
      </c>
      <c r="F16" s="47">
        <v>12000000</v>
      </c>
    </row>
    <row r="17" spans="1:7" x14ac:dyDescent="0.25">
      <c r="A17" s="12" t="s">
        <v>64</v>
      </c>
      <c r="B17" s="12" t="s">
        <v>65</v>
      </c>
      <c r="C17" s="12" t="s">
        <v>55</v>
      </c>
      <c r="D17" s="83">
        <v>1</v>
      </c>
      <c r="E17" s="83"/>
      <c r="F17" s="47"/>
      <c r="G17" t="s">
        <v>60</v>
      </c>
    </row>
    <row r="18" spans="1:7" x14ac:dyDescent="0.25">
      <c r="A18" s="12" t="s">
        <v>66</v>
      </c>
      <c r="B18" s="12" t="s">
        <v>67</v>
      </c>
      <c r="C18" s="12" t="s">
        <v>55</v>
      </c>
      <c r="D18" s="83">
        <v>1</v>
      </c>
      <c r="E18" s="83"/>
      <c r="F18" s="47"/>
      <c r="G18" t="s">
        <v>60</v>
      </c>
    </row>
    <row r="19" spans="1:7" ht="18.75" x14ac:dyDescent="0.3">
      <c r="A19" s="12"/>
      <c r="B19" s="12"/>
      <c r="C19" s="12"/>
      <c r="D19" s="83"/>
      <c r="E19" s="85" t="s">
        <v>68</v>
      </c>
      <c r="F19" s="96">
        <f>SUM(F13:F18)</f>
        <v>14160000</v>
      </c>
    </row>
    <row r="21" spans="1:7" x14ac:dyDescent="0.25">
      <c r="A21" s="68"/>
      <c r="B21" s="68" t="s">
        <v>69</v>
      </c>
      <c r="C21" s="68"/>
      <c r="D21" s="86"/>
      <c r="E21" s="86"/>
      <c r="F21" s="92"/>
    </row>
    <row r="22" spans="1:7" x14ac:dyDescent="0.25">
      <c r="A22" s="12" t="s">
        <v>70</v>
      </c>
      <c r="B22" s="12" t="s">
        <v>71</v>
      </c>
      <c r="C22" s="12" t="s">
        <v>72</v>
      </c>
      <c r="D22" s="83">
        <v>1</v>
      </c>
      <c r="E22" s="83">
        <v>1200000</v>
      </c>
      <c r="F22" s="47">
        <v>1200000</v>
      </c>
    </row>
    <row r="23" spans="1:7" x14ac:dyDescent="0.25">
      <c r="A23" s="12" t="s">
        <v>73</v>
      </c>
      <c r="B23" s="12" t="s">
        <v>74</v>
      </c>
      <c r="C23" s="12" t="s">
        <v>72</v>
      </c>
      <c r="D23" s="83">
        <v>1</v>
      </c>
      <c r="E23" s="83">
        <v>650000</v>
      </c>
      <c r="F23" s="47">
        <v>650000</v>
      </c>
    </row>
    <row r="24" spans="1:7" x14ac:dyDescent="0.25">
      <c r="A24" s="12" t="s">
        <v>75</v>
      </c>
      <c r="B24" s="12" t="s">
        <v>76</v>
      </c>
      <c r="C24" s="12" t="s">
        <v>63</v>
      </c>
      <c r="D24" s="83">
        <v>460</v>
      </c>
      <c r="E24" s="83">
        <v>2100</v>
      </c>
      <c r="F24" s="47">
        <v>966000</v>
      </c>
    </row>
    <row r="25" spans="1:7" ht="18.75" x14ac:dyDescent="0.3">
      <c r="A25" s="12"/>
      <c r="B25" s="12"/>
      <c r="C25" s="12"/>
      <c r="D25" s="83"/>
      <c r="E25" s="85" t="s">
        <v>77</v>
      </c>
      <c r="F25" s="47">
        <f>SUM(F22:F24)</f>
        <v>2816000</v>
      </c>
    </row>
    <row r="26" spans="1:7" x14ac:dyDescent="0.25">
      <c r="A26" s="12"/>
      <c r="B26" s="12"/>
      <c r="C26" s="12"/>
      <c r="D26" s="83"/>
      <c r="E26" s="83"/>
      <c r="F26" s="47"/>
    </row>
    <row r="27" spans="1:7" x14ac:dyDescent="0.25">
      <c r="A27" s="69"/>
      <c r="B27" s="69" t="s">
        <v>78</v>
      </c>
      <c r="C27" s="69"/>
      <c r="D27" s="87"/>
      <c r="E27" s="87"/>
      <c r="F27" s="93"/>
    </row>
    <row r="28" spans="1:7" x14ac:dyDescent="0.25">
      <c r="A28" s="101" t="s">
        <v>79</v>
      </c>
      <c r="B28" s="101" t="s">
        <v>80</v>
      </c>
      <c r="C28" s="101" t="s">
        <v>81</v>
      </c>
      <c r="D28" s="102">
        <v>1.9</v>
      </c>
      <c r="E28" s="102">
        <v>87000</v>
      </c>
      <c r="F28" s="103">
        <v>0</v>
      </c>
    </row>
    <row r="29" spans="1:7" x14ac:dyDescent="0.25">
      <c r="A29" s="101" t="s">
        <v>82</v>
      </c>
      <c r="B29" s="101" t="s">
        <v>83</v>
      </c>
      <c r="C29" s="101" t="s">
        <v>81</v>
      </c>
      <c r="D29" s="102">
        <v>1.8</v>
      </c>
      <c r="E29" s="102">
        <v>140000</v>
      </c>
      <c r="F29" s="103">
        <v>0</v>
      </c>
    </row>
    <row r="30" spans="1:7" x14ac:dyDescent="0.25">
      <c r="A30" s="101" t="s">
        <v>84</v>
      </c>
      <c r="B30" s="101" t="s">
        <v>85</v>
      </c>
      <c r="C30" s="101" t="s">
        <v>63</v>
      </c>
      <c r="D30" s="102">
        <v>8.8000000000000007</v>
      </c>
      <c r="E30" s="102">
        <v>14000</v>
      </c>
      <c r="F30" s="103">
        <v>0</v>
      </c>
    </row>
    <row r="31" spans="1:7" x14ac:dyDescent="0.25">
      <c r="A31" s="101" t="s">
        <v>86</v>
      </c>
      <c r="B31" s="101" t="s">
        <v>87</v>
      </c>
      <c r="C31" s="101" t="s">
        <v>88</v>
      </c>
      <c r="D31" s="102">
        <v>176</v>
      </c>
      <c r="E31" s="102">
        <v>1850</v>
      </c>
      <c r="F31" s="103">
        <v>0</v>
      </c>
    </row>
    <row r="32" spans="1:7" x14ac:dyDescent="0.25">
      <c r="A32" s="101" t="s">
        <v>89</v>
      </c>
      <c r="B32" s="101" t="s">
        <v>90</v>
      </c>
      <c r="C32" s="101" t="s">
        <v>81</v>
      </c>
      <c r="D32" s="102">
        <v>1</v>
      </c>
      <c r="E32" s="102">
        <v>140000</v>
      </c>
      <c r="F32" s="103">
        <v>0</v>
      </c>
    </row>
    <row r="33" spans="1:6" x14ac:dyDescent="0.25">
      <c r="A33" s="101" t="s">
        <v>91</v>
      </c>
      <c r="B33" s="101" t="s">
        <v>92</v>
      </c>
      <c r="C33" s="101" t="s">
        <v>63</v>
      </c>
      <c r="D33" s="102">
        <v>20</v>
      </c>
      <c r="E33" s="102">
        <v>14000</v>
      </c>
      <c r="F33" s="103">
        <v>0</v>
      </c>
    </row>
    <row r="34" spans="1:6" x14ac:dyDescent="0.25">
      <c r="A34" s="101" t="s">
        <v>93</v>
      </c>
      <c r="B34" s="101" t="s">
        <v>94</v>
      </c>
      <c r="C34" s="101" t="s">
        <v>88</v>
      </c>
      <c r="D34" s="102">
        <v>120</v>
      </c>
      <c r="E34" s="102">
        <v>1850</v>
      </c>
      <c r="F34" s="103">
        <v>0</v>
      </c>
    </row>
    <row r="35" spans="1:6" x14ac:dyDescent="0.25">
      <c r="A35" s="101" t="s">
        <v>95</v>
      </c>
      <c r="B35" s="101" t="s">
        <v>96</v>
      </c>
      <c r="C35" s="101" t="s">
        <v>81</v>
      </c>
      <c r="D35" s="102">
        <v>2.5</v>
      </c>
      <c r="E35" s="102">
        <v>140000</v>
      </c>
      <c r="F35" s="103">
        <v>0</v>
      </c>
    </row>
    <row r="36" spans="1:6" x14ac:dyDescent="0.25">
      <c r="A36" s="101" t="s">
        <v>97</v>
      </c>
      <c r="B36" s="101" t="s">
        <v>98</v>
      </c>
      <c r="C36" s="101" t="s">
        <v>63</v>
      </c>
      <c r="D36" s="102">
        <v>25</v>
      </c>
      <c r="E36" s="102">
        <v>14000</v>
      </c>
      <c r="F36" s="103">
        <v>0</v>
      </c>
    </row>
    <row r="37" spans="1:6" x14ac:dyDescent="0.25">
      <c r="A37" s="101" t="s">
        <v>99</v>
      </c>
      <c r="B37" s="101" t="s">
        <v>100</v>
      </c>
      <c r="C37" s="101" t="s">
        <v>88</v>
      </c>
      <c r="D37" s="102">
        <v>320</v>
      </c>
      <c r="E37" s="102">
        <v>1850</v>
      </c>
      <c r="F37" s="103">
        <v>0</v>
      </c>
    </row>
    <row r="38" spans="1:6" x14ac:dyDescent="0.25">
      <c r="A38" s="12" t="s">
        <v>101</v>
      </c>
      <c r="B38" s="12" t="s">
        <v>102</v>
      </c>
      <c r="C38" s="12" t="s">
        <v>81</v>
      </c>
      <c r="D38" s="83">
        <v>35</v>
      </c>
      <c r="E38" s="83">
        <v>130000</v>
      </c>
      <c r="F38" s="47">
        <f t="shared" ref="F38:F41" si="0">E38*D38</f>
        <v>4550000</v>
      </c>
    </row>
    <row r="39" spans="1:6" x14ac:dyDescent="0.25">
      <c r="A39" s="12" t="s">
        <v>103</v>
      </c>
      <c r="B39" s="12" t="s">
        <v>104</v>
      </c>
      <c r="C39" s="12" t="s">
        <v>63</v>
      </c>
      <c r="D39" s="83">
        <v>70</v>
      </c>
      <c r="E39" s="83">
        <v>14000</v>
      </c>
      <c r="F39" s="47">
        <f t="shared" si="0"/>
        <v>980000</v>
      </c>
    </row>
    <row r="40" spans="1:6" x14ac:dyDescent="0.25">
      <c r="A40" s="12" t="s">
        <v>105</v>
      </c>
      <c r="B40" s="12" t="s">
        <v>106</v>
      </c>
      <c r="C40" s="12" t="s">
        <v>88</v>
      </c>
      <c r="D40" s="83">
        <v>2436</v>
      </c>
      <c r="E40" s="83">
        <v>1850</v>
      </c>
      <c r="F40" s="47">
        <f t="shared" si="0"/>
        <v>4506600</v>
      </c>
    </row>
    <row r="41" spans="1:6" x14ac:dyDescent="0.25">
      <c r="A41" s="12" t="s">
        <v>107</v>
      </c>
      <c r="B41" s="12" t="s">
        <v>108</v>
      </c>
      <c r="C41" s="12" t="s">
        <v>63</v>
      </c>
      <c r="D41" s="83">
        <v>72</v>
      </c>
      <c r="E41" s="83">
        <v>60000</v>
      </c>
      <c r="F41" s="47">
        <f t="shared" si="0"/>
        <v>4320000</v>
      </c>
    </row>
    <row r="42" spans="1:6" ht="18.75" x14ac:dyDescent="0.3">
      <c r="A42" s="12"/>
      <c r="B42" s="12"/>
      <c r="C42" s="12"/>
      <c r="D42" s="83"/>
      <c r="E42" s="85" t="s">
        <v>378</v>
      </c>
      <c r="F42" s="96">
        <f>SUM(F28:F41)</f>
        <v>14356600</v>
      </c>
    </row>
    <row r="43" spans="1:6" x14ac:dyDescent="0.25">
      <c r="A43" s="12"/>
      <c r="B43" s="12"/>
      <c r="C43" s="12"/>
      <c r="D43" s="83"/>
      <c r="E43" s="83"/>
      <c r="F43" s="47"/>
    </row>
    <row r="44" spans="1:6" x14ac:dyDescent="0.25">
      <c r="A44" s="70"/>
      <c r="B44" s="70" t="s">
        <v>109</v>
      </c>
      <c r="C44" s="70"/>
      <c r="D44" s="88"/>
      <c r="E44" s="88"/>
      <c r="F44" s="94"/>
    </row>
    <row r="45" spans="1:6" x14ac:dyDescent="0.25">
      <c r="A45" s="12" t="s">
        <v>110</v>
      </c>
      <c r="B45" s="12" t="s">
        <v>111</v>
      </c>
      <c r="C45" s="12" t="s">
        <v>81</v>
      </c>
      <c r="D45" s="83">
        <v>30.3</v>
      </c>
      <c r="E45" s="83">
        <v>130000</v>
      </c>
      <c r="F45" s="47">
        <v>3939000</v>
      </c>
    </row>
    <row r="46" spans="1:6" x14ac:dyDescent="0.25">
      <c r="A46" s="12" t="s">
        <v>112</v>
      </c>
      <c r="B46" s="12" t="s">
        <v>113</v>
      </c>
      <c r="C46" s="12" t="s">
        <v>63</v>
      </c>
      <c r="D46" s="83">
        <v>11</v>
      </c>
      <c r="E46" s="83">
        <v>14000</v>
      </c>
      <c r="F46" s="47">
        <v>154000</v>
      </c>
    </row>
    <row r="47" spans="1:6" x14ac:dyDescent="0.25">
      <c r="A47" s="12" t="s">
        <v>114</v>
      </c>
      <c r="B47" s="12" t="s">
        <v>115</v>
      </c>
      <c r="C47" s="12" t="s">
        <v>88</v>
      </c>
      <c r="D47" s="83">
        <v>1818</v>
      </c>
      <c r="E47" s="83">
        <v>1850</v>
      </c>
      <c r="F47" s="47">
        <v>3363300</v>
      </c>
    </row>
    <row r="48" spans="1:6" ht="18.75" x14ac:dyDescent="0.3">
      <c r="A48" s="12"/>
      <c r="B48" s="12"/>
      <c r="C48" s="12"/>
      <c r="D48" s="83"/>
      <c r="E48" s="85" t="s">
        <v>379</v>
      </c>
      <c r="F48" s="96">
        <f>SUM(F45:F47)</f>
        <v>7456300</v>
      </c>
    </row>
    <row r="49" spans="1:6" x14ac:dyDescent="0.25">
      <c r="A49" s="12"/>
      <c r="B49" s="12"/>
      <c r="C49" s="12"/>
      <c r="D49" s="83"/>
      <c r="E49" s="83"/>
      <c r="F49" s="47"/>
    </row>
    <row r="50" spans="1:6" x14ac:dyDescent="0.25">
      <c r="A50" s="71"/>
      <c r="B50" s="71" t="s">
        <v>116</v>
      </c>
      <c r="C50" s="71"/>
      <c r="D50" s="89"/>
      <c r="E50" s="89"/>
      <c r="F50" s="95"/>
    </row>
    <row r="51" spans="1:6" x14ac:dyDescent="0.25">
      <c r="A51" s="101" t="s">
        <v>117</v>
      </c>
      <c r="B51" s="101" t="s">
        <v>118</v>
      </c>
      <c r="C51" s="101" t="s">
        <v>81</v>
      </c>
      <c r="D51" s="102">
        <v>9.5</v>
      </c>
      <c r="E51" s="102">
        <v>130000</v>
      </c>
      <c r="F51" s="103"/>
    </row>
    <row r="52" spans="1:6" x14ac:dyDescent="0.25">
      <c r="A52" s="101" t="s">
        <v>119</v>
      </c>
      <c r="B52" s="101" t="s">
        <v>120</v>
      </c>
      <c r="C52" s="101" t="s">
        <v>63</v>
      </c>
      <c r="D52" s="102">
        <v>52</v>
      </c>
      <c r="E52" s="102">
        <v>14000</v>
      </c>
      <c r="F52" s="103"/>
    </row>
    <row r="53" spans="1:6" x14ac:dyDescent="0.25">
      <c r="A53" s="101" t="s">
        <v>121</v>
      </c>
      <c r="B53" s="101" t="s">
        <v>122</v>
      </c>
      <c r="C53" s="101" t="s">
        <v>88</v>
      </c>
      <c r="D53" s="102">
        <v>1114</v>
      </c>
      <c r="E53" s="102">
        <v>1850</v>
      </c>
      <c r="F53" s="103"/>
    </row>
    <row r="54" spans="1:6" x14ac:dyDescent="0.25">
      <c r="A54" s="101" t="s">
        <v>123</v>
      </c>
      <c r="B54" s="101" t="s">
        <v>124</v>
      </c>
      <c r="C54" s="101" t="s">
        <v>81</v>
      </c>
      <c r="D54" s="102">
        <v>4</v>
      </c>
      <c r="E54" s="102">
        <v>130000</v>
      </c>
      <c r="F54" s="103"/>
    </row>
    <row r="55" spans="1:6" x14ac:dyDescent="0.25">
      <c r="A55" s="101" t="s">
        <v>125</v>
      </c>
      <c r="B55" s="101" t="s">
        <v>126</v>
      </c>
      <c r="C55" s="101" t="s">
        <v>63</v>
      </c>
      <c r="D55" s="102">
        <v>30</v>
      </c>
      <c r="E55" s="102">
        <v>11000</v>
      </c>
      <c r="F55" s="103"/>
    </row>
    <row r="56" spans="1:6" x14ac:dyDescent="0.25">
      <c r="A56" s="101" t="s">
        <v>127</v>
      </c>
      <c r="B56" s="101" t="s">
        <v>128</v>
      </c>
      <c r="C56" s="101" t="s">
        <v>63</v>
      </c>
      <c r="D56" s="102">
        <v>30</v>
      </c>
      <c r="E56" s="102">
        <v>10000</v>
      </c>
      <c r="F56" s="103"/>
    </row>
    <row r="57" spans="1:6" x14ac:dyDescent="0.25">
      <c r="A57" s="101" t="s">
        <v>129</v>
      </c>
      <c r="B57" s="101" t="s">
        <v>130</v>
      </c>
      <c r="C57" s="101" t="s">
        <v>88</v>
      </c>
      <c r="D57" s="102">
        <v>324</v>
      </c>
      <c r="E57" s="102">
        <v>1850</v>
      </c>
      <c r="F57" s="103"/>
    </row>
    <row r="58" spans="1:6" x14ac:dyDescent="0.25">
      <c r="A58" s="12" t="s">
        <v>131</v>
      </c>
      <c r="B58" s="12" t="s">
        <v>132</v>
      </c>
      <c r="C58" s="12" t="s">
        <v>63</v>
      </c>
      <c r="D58" s="83">
        <v>573</v>
      </c>
      <c r="E58" s="83">
        <v>13000</v>
      </c>
      <c r="F58" s="47">
        <v>7449000</v>
      </c>
    </row>
    <row r="59" spans="1:6" x14ac:dyDescent="0.25">
      <c r="A59" s="12" t="s">
        <v>133</v>
      </c>
      <c r="B59" s="12" t="s">
        <v>134</v>
      </c>
      <c r="C59" s="12" t="s">
        <v>63</v>
      </c>
      <c r="D59" s="83">
        <v>1145</v>
      </c>
      <c r="E59" s="83">
        <v>9500</v>
      </c>
      <c r="F59" s="47">
        <v>10877500</v>
      </c>
    </row>
    <row r="60" spans="1:6" x14ac:dyDescent="0.25">
      <c r="A60" s="12" t="s">
        <v>135</v>
      </c>
      <c r="B60" s="12" t="s">
        <v>136</v>
      </c>
      <c r="C60" s="12" t="s">
        <v>63</v>
      </c>
      <c r="D60" s="83">
        <v>30</v>
      </c>
      <c r="E60" s="83">
        <v>13500</v>
      </c>
      <c r="F60" s="47">
        <v>405000</v>
      </c>
    </row>
    <row r="61" spans="1:6" x14ac:dyDescent="0.25">
      <c r="A61" s="12" t="s">
        <v>137</v>
      </c>
      <c r="B61" s="12" t="s">
        <v>138</v>
      </c>
      <c r="C61" s="12" t="s">
        <v>55</v>
      </c>
      <c r="D61" s="83">
        <v>1</v>
      </c>
      <c r="E61" s="83"/>
      <c r="F61" s="47"/>
    </row>
    <row r="62" spans="1:6" x14ac:dyDescent="0.25">
      <c r="A62" s="12" t="s">
        <v>139</v>
      </c>
      <c r="B62" s="12" t="s">
        <v>140</v>
      </c>
      <c r="C62" s="12" t="s">
        <v>55</v>
      </c>
      <c r="D62" s="83">
        <v>1</v>
      </c>
      <c r="E62" s="83"/>
      <c r="F62" s="47"/>
    </row>
    <row r="63" spans="1:6" x14ac:dyDescent="0.25">
      <c r="A63" s="12" t="s">
        <v>141</v>
      </c>
      <c r="B63" s="12" t="s">
        <v>142</v>
      </c>
      <c r="C63" s="12" t="s">
        <v>81</v>
      </c>
      <c r="D63" s="83">
        <v>5.6</v>
      </c>
      <c r="E63" s="83">
        <v>130000</v>
      </c>
      <c r="F63" s="47">
        <v>728000</v>
      </c>
    </row>
    <row r="64" spans="1:6" x14ac:dyDescent="0.25">
      <c r="A64" s="12" t="s">
        <v>143</v>
      </c>
      <c r="B64" s="12" t="s">
        <v>144</v>
      </c>
      <c r="C64" s="12" t="s">
        <v>63</v>
      </c>
      <c r="D64" s="83">
        <v>5</v>
      </c>
      <c r="E64" s="83">
        <v>17000</v>
      </c>
      <c r="F64" s="47">
        <v>85000</v>
      </c>
    </row>
    <row r="65" spans="1:6" x14ac:dyDescent="0.25">
      <c r="A65" s="12" t="s">
        <v>145</v>
      </c>
      <c r="B65" s="12" t="s">
        <v>146</v>
      </c>
      <c r="C65" s="12" t="s">
        <v>81</v>
      </c>
      <c r="D65" s="83">
        <v>1.5</v>
      </c>
      <c r="E65" s="83">
        <v>140000</v>
      </c>
      <c r="F65" s="47">
        <v>210000</v>
      </c>
    </row>
    <row r="66" spans="1:6" x14ac:dyDescent="0.25">
      <c r="A66" s="12" t="s">
        <v>147</v>
      </c>
      <c r="B66" s="12" t="s">
        <v>148</v>
      </c>
      <c r="C66" s="12" t="s">
        <v>63</v>
      </c>
      <c r="D66" s="83">
        <v>18</v>
      </c>
      <c r="E66" s="83">
        <v>14000</v>
      </c>
      <c r="F66" s="47">
        <v>250000</v>
      </c>
    </row>
    <row r="67" spans="1:6" x14ac:dyDescent="0.25">
      <c r="A67" s="12" t="s">
        <v>149</v>
      </c>
      <c r="B67" s="12" t="s">
        <v>150</v>
      </c>
      <c r="C67" s="12" t="s">
        <v>88</v>
      </c>
      <c r="D67" s="83">
        <v>84</v>
      </c>
      <c r="E67" s="83">
        <v>1850</v>
      </c>
      <c r="F67" s="47">
        <v>155400</v>
      </c>
    </row>
    <row r="68" spans="1:6" x14ac:dyDescent="0.25">
      <c r="A68" s="12" t="s">
        <v>151</v>
      </c>
      <c r="B68" s="12" t="s">
        <v>152</v>
      </c>
      <c r="C68" s="12" t="s">
        <v>63</v>
      </c>
      <c r="D68" s="83">
        <v>152</v>
      </c>
      <c r="E68" s="83">
        <v>13000</v>
      </c>
      <c r="F68" s="47">
        <v>1976000</v>
      </c>
    </row>
    <row r="69" spans="1:6" x14ac:dyDescent="0.25">
      <c r="A69" s="12" t="s">
        <v>153</v>
      </c>
      <c r="B69" s="12" t="s">
        <v>154</v>
      </c>
      <c r="C69" s="12" t="s">
        <v>63</v>
      </c>
      <c r="D69" s="83">
        <v>555</v>
      </c>
      <c r="E69" s="83">
        <v>9500</v>
      </c>
      <c r="F69" s="47">
        <v>5272500</v>
      </c>
    </row>
    <row r="70" spans="1:6" x14ac:dyDescent="0.25">
      <c r="A70" s="12" t="s">
        <v>155</v>
      </c>
      <c r="B70" s="12" t="s">
        <v>156</v>
      </c>
      <c r="C70" s="12" t="s">
        <v>63</v>
      </c>
      <c r="D70" s="83">
        <v>180</v>
      </c>
      <c r="E70" s="83">
        <v>13500</v>
      </c>
      <c r="F70" s="47">
        <v>2430000</v>
      </c>
    </row>
    <row r="71" spans="1:6" x14ac:dyDescent="0.25">
      <c r="A71" s="12" t="s">
        <v>157</v>
      </c>
      <c r="B71" s="12" t="s">
        <v>158</v>
      </c>
      <c r="C71" s="12" t="s">
        <v>63</v>
      </c>
      <c r="D71" s="100" t="s">
        <v>72</v>
      </c>
      <c r="E71" s="100" t="s">
        <v>72</v>
      </c>
      <c r="F71" s="47">
        <v>180000</v>
      </c>
    </row>
    <row r="72" spans="1:6" ht="18.75" x14ac:dyDescent="0.3">
      <c r="E72" s="90" t="s">
        <v>159</v>
      </c>
      <c r="F72" s="97">
        <f>SUM(F51:F71)</f>
        <v>30018400</v>
      </c>
    </row>
    <row r="74" spans="1:6" ht="21" x14ac:dyDescent="0.35">
      <c r="B74" s="98" t="s">
        <v>160</v>
      </c>
      <c r="F74" s="99">
        <f>F19+F25+F42+F48+F72</f>
        <v>68807300</v>
      </c>
    </row>
    <row r="76" spans="1:6" x14ac:dyDescent="0.25">
      <c r="B76" t="s">
        <v>161</v>
      </c>
    </row>
    <row r="77" spans="1:6" x14ac:dyDescent="0.25">
      <c r="B77" t="s">
        <v>162</v>
      </c>
    </row>
    <row r="78" spans="1:6" x14ac:dyDescent="0.25">
      <c r="B78" t="s">
        <v>163</v>
      </c>
    </row>
    <row r="80" spans="1:6" x14ac:dyDescent="0.25">
      <c r="B80" t="s">
        <v>164</v>
      </c>
    </row>
  </sheetData>
  <phoneticPr fontId="7" type="noConversion"/>
  <pageMargins left="0.3" right="0.3" top="0.5" bottom="0.5" header="0.5" footer="0.5"/>
  <pageSetup paperSize="9" scale="88" fitToHeight="0" orientation="landscape" horizontalDpi="4294967292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4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7.5703125" style="139" customWidth="1"/>
    <col min="2" max="2" width="86.5703125" customWidth="1"/>
    <col min="3" max="3" width="10" customWidth="1"/>
    <col min="4" max="4" width="12" customWidth="1"/>
    <col min="5" max="6" width="18" customWidth="1"/>
  </cols>
  <sheetData>
    <row r="1" spans="1:6" ht="18.75" x14ac:dyDescent="0.3">
      <c r="A1" s="159" t="s">
        <v>519</v>
      </c>
    </row>
    <row r="2" spans="1:6" ht="18.75" x14ac:dyDescent="0.3">
      <c r="A2" s="170"/>
      <c r="B2" s="170"/>
    </row>
    <row r="3" spans="1:6" ht="18.75" x14ac:dyDescent="0.3">
      <c r="A3" s="170"/>
      <c r="B3" s="170"/>
    </row>
    <row r="4" spans="1:6" ht="18.75" x14ac:dyDescent="0.3">
      <c r="A4" s="170"/>
      <c r="B4" s="170"/>
    </row>
    <row r="5" spans="1:6" ht="18.75" x14ac:dyDescent="0.3">
      <c r="A5" s="170"/>
      <c r="B5" s="170"/>
    </row>
    <row r="6" spans="1:6" ht="18.75" x14ac:dyDescent="0.3">
      <c r="A6" s="159"/>
      <c r="B6" s="133"/>
    </row>
    <row r="7" spans="1:6" ht="18.75" x14ac:dyDescent="0.3">
      <c r="A7" s="159"/>
      <c r="B7" s="133"/>
    </row>
    <row r="8" spans="1:6" ht="18.75" x14ac:dyDescent="0.3">
      <c r="A8" s="170"/>
      <c r="B8" s="170"/>
    </row>
    <row r="9" spans="1:6" ht="18.75" x14ac:dyDescent="0.3">
      <c r="A9" s="160"/>
    </row>
    <row r="10" spans="1:6" ht="18.75" x14ac:dyDescent="0.3">
      <c r="A10" s="162" t="s">
        <v>47</v>
      </c>
      <c r="B10" s="163" t="s">
        <v>48</v>
      </c>
      <c r="C10" s="163" t="s">
        <v>49</v>
      </c>
      <c r="D10" s="163" t="s">
        <v>50</v>
      </c>
      <c r="E10" s="163" t="s">
        <v>51</v>
      </c>
      <c r="F10" s="163" t="s">
        <v>22</v>
      </c>
    </row>
    <row r="11" spans="1:6" x14ac:dyDescent="0.25">
      <c r="A11" s="63">
        <v>1</v>
      </c>
      <c r="B11" s="12" t="s">
        <v>388</v>
      </c>
      <c r="C11" s="12"/>
      <c r="D11" s="12"/>
      <c r="E11" s="12"/>
      <c r="F11" s="12"/>
    </row>
    <row r="12" spans="1:6" x14ac:dyDescent="0.25">
      <c r="A12" s="63">
        <v>2</v>
      </c>
      <c r="B12" s="12" t="s">
        <v>389</v>
      </c>
      <c r="C12" s="12" t="s">
        <v>55</v>
      </c>
      <c r="D12" s="12">
        <v>1</v>
      </c>
      <c r="E12" s="12">
        <v>5216000</v>
      </c>
      <c r="F12" s="12">
        <v>5216000</v>
      </c>
    </row>
    <row r="13" spans="1:6" x14ac:dyDescent="0.25">
      <c r="A13" s="63"/>
      <c r="B13" s="12"/>
      <c r="C13" s="12"/>
      <c r="D13" s="12"/>
      <c r="E13" s="12"/>
      <c r="F13" s="12"/>
    </row>
    <row r="16" spans="1:6" ht="21" x14ac:dyDescent="0.35">
      <c r="B16" s="161" t="s">
        <v>391</v>
      </c>
      <c r="F16" s="161">
        <f>SUM(F11+F12)</f>
        <v>5216000</v>
      </c>
    </row>
    <row r="19" spans="1:2" x14ac:dyDescent="0.25">
      <c r="A19"/>
    </row>
    <row r="20" spans="1:2" x14ac:dyDescent="0.25">
      <c r="A20"/>
      <c r="B20" t="s">
        <v>161</v>
      </c>
    </row>
    <row r="21" spans="1:2" x14ac:dyDescent="0.25">
      <c r="A21"/>
      <c r="B21" t="s">
        <v>162</v>
      </c>
    </row>
    <row r="22" spans="1:2" x14ac:dyDescent="0.25">
      <c r="A22"/>
      <c r="B22" t="s">
        <v>163</v>
      </c>
    </row>
    <row r="23" spans="1:2" x14ac:dyDescent="0.25">
      <c r="A23"/>
    </row>
    <row r="24" spans="1:2" x14ac:dyDescent="0.25">
      <c r="A24"/>
      <c r="B24" t="s">
        <v>164</v>
      </c>
    </row>
  </sheetData>
  <mergeCells count="5">
    <mergeCell ref="A3:B3"/>
    <mergeCell ref="A4:B4"/>
    <mergeCell ref="A5:B5"/>
    <mergeCell ref="A8:B8"/>
    <mergeCell ref="A2:B2"/>
  </mergeCells>
  <pageMargins left="0.3" right="0.3" top="0.5" bottom="0.5" header="0.5" footer="0.5"/>
  <pageSetup paperSize="9" scale="94" fitToHeight="0" orientation="landscape" horizontalDpi="4294967292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8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82" customWidth="1"/>
  </cols>
  <sheetData>
    <row r="1" spans="1:6" x14ac:dyDescent="0.25">
      <c r="A1" t="s">
        <v>165</v>
      </c>
    </row>
    <row r="10" spans="1:6" x14ac:dyDescent="0.25">
      <c r="A10" s="12" t="s">
        <v>47</v>
      </c>
      <c r="B10" s="12" t="s">
        <v>48</v>
      </c>
      <c r="C10" s="12" t="s">
        <v>49</v>
      </c>
      <c r="D10" s="12" t="s">
        <v>50</v>
      </c>
      <c r="E10" s="83" t="s">
        <v>51</v>
      </c>
      <c r="F10" s="83" t="s">
        <v>22</v>
      </c>
    </row>
    <row r="12" spans="1:6" x14ac:dyDescent="0.25">
      <c r="A12" s="67"/>
      <c r="B12" s="67" t="s">
        <v>380</v>
      </c>
      <c r="C12" s="67"/>
      <c r="D12" s="67"/>
      <c r="E12" s="84"/>
      <c r="F12" s="84"/>
    </row>
    <row r="13" spans="1:6" x14ac:dyDescent="0.25">
      <c r="A13" s="12" t="s">
        <v>166</v>
      </c>
      <c r="B13" s="12" t="s">
        <v>167</v>
      </c>
      <c r="C13" s="12" t="s">
        <v>63</v>
      </c>
      <c r="D13" s="12">
        <v>350</v>
      </c>
      <c r="E13" s="83">
        <v>17286</v>
      </c>
      <c r="F13" s="83">
        <v>6050000</v>
      </c>
    </row>
    <row r="14" spans="1:6" x14ac:dyDescent="0.25">
      <c r="A14" s="12" t="s">
        <v>168</v>
      </c>
      <c r="B14" s="12" t="s">
        <v>169</v>
      </c>
      <c r="C14" s="12" t="s">
        <v>170</v>
      </c>
      <c r="D14" s="12">
        <v>210</v>
      </c>
      <c r="E14" s="83">
        <v>4024</v>
      </c>
      <c r="F14" s="83">
        <v>845000</v>
      </c>
    </row>
    <row r="15" spans="1:6" ht="18.75" x14ac:dyDescent="0.3">
      <c r="A15" s="12"/>
      <c r="B15" s="12"/>
      <c r="C15" s="12"/>
      <c r="D15" s="12"/>
      <c r="E15" s="85" t="s">
        <v>68</v>
      </c>
      <c r="F15" s="85">
        <f>SUM(F13:F14)</f>
        <v>6895000</v>
      </c>
    </row>
    <row r="17" spans="1:6" x14ac:dyDescent="0.25">
      <c r="A17" s="104"/>
      <c r="B17" s="104" t="s">
        <v>171</v>
      </c>
      <c r="C17" s="104"/>
      <c r="D17" s="104"/>
      <c r="E17" s="106"/>
      <c r="F17" s="106"/>
    </row>
    <row r="18" spans="1:6" x14ac:dyDescent="0.25">
      <c r="A18" s="12" t="s">
        <v>172</v>
      </c>
      <c r="B18" s="12" t="s">
        <v>167</v>
      </c>
      <c r="C18" s="12" t="s">
        <v>63</v>
      </c>
      <c r="D18" s="12">
        <v>100</v>
      </c>
      <c r="E18" s="83">
        <v>18000</v>
      </c>
      <c r="F18" s="107">
        <v>1800000</v>
      </c>
    </row>
    <row r="19" spans="1:6" x14ac:dyDescent="0.25">
      <c r="A19" s="12" t="s">
        <v>173</v>
      </c>
      <c r="B19" s="12" t="s">
        <v>169</v>
      </c>
      <c r="C19" s="12" t="s">
        <v>170</v>
      </c>
      <c r="D19" s="12">
        <v>50</v>
      </c>
      <c r="E19" s="83">
        <v>8000</v>
      </c>
      <c r="F19" s="83">
        <v>400000</v>
      </c>
    </row>
    <row r="20" spans="1:6" ht="18.75" x14ac:dyDescent="0.3">
      <c r="E20" s="90" t="s">
        <v>77</v>
      </c>
      <c r="F20" s="90">
        <f>SUM(F18:F19)</f>
        <v>2200000</v>
      </c>
    </row>
    <row r="22" spans="1:6" ht="21" x14ac:dyDescent="0.35">
      <c r="B22" s="98" t="s">
        <v>174</v>
      </c>
      <c r="F22" s="90">
        <f>SUM(F15+F20)</f>
        <v>9095000</v>
      </c>
    </row>
    <row r="24" spans="1:6" x14ac:dyDescent="0.25">
      <c r="B24" t="s">
        <v>161</v>
      </c>
    </row>
    <row r="25" spans="1:6" x14ac:dyDescent="0.25">
      <c r="B25" t="s">
        <v>162</v>
      </c>
    </row>
    <row r="26" spans="1:6" x14ac:dyDescent="0.25">
      <c r="B26" t="s">
        <v>163</v>
      </c>
    </row>
    <row r="28" spans="1:6" x14ac:dyDescent="0.25">
      <c r="B28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42"/>
  <sheetViews>
    <sheetView workbookViewId="0">
      <selection activeCell="H28" sqref="H28"/>
    </sheetView>
  </sheetViews>
  <sheetFormatPr baseColWidth="10" defaultColWidth="9.140625" defaultRowHeight="15" x14ac:dyDescent="0.25"/>
  <cols>
    <col min="1" max="1" width="10" customWidth="1"/>
    <col min="2" max="2" width="75" customWidth="1"/>
    <col min="3" max="4" width="12.85546875" style="82" customWidth="1"/>
    <col min="5" max="5" width="11.28515625" style="82" customWidth="1"/>
    <col min="6" max="6" width="22.5703125" style="82" customWidth="1"/>
    <col min="7" max="9" width="18" style="82" customWidth="1"/>
  </cols>
  <sheetData>
    <row r="1" spans="1:9" x14ac:dyDescent="0.25">
      <c r="A1" t="s">
        <v>393</v>
      </c>
    </row>
    <row r="3" spans="1:9" x14ac:dyDescent="0.25">
      <c r="B3" s="8"/>
    </row>
    <row r="4" spans="1:9" x14ac:dyDescent="0.25">
      <c r="B4" s="8"/>
    </row>
    <row r="5" spans="1:9" x14ac:dyDescent="0.25">
      <c r="B5" s="8"/>
    </row>
    <row r="6" spans="1:9" x14ac:dyDescent="0.25">
      <c r="B6" s="8"/>
    </row>
    <row r="7" spans="1:9" x14ac:dyDescent="0.25">
      <c r="B7" s="8"/>
    </row>
    <row r="8" spans="1:9" x14ac:dyDescent="0.25">
      <c r="B8" s="8"/>
    </row>
    <row r="9" spans="1:9" x14ac:dyDescent="0.25">
      <c r="B9" s="8"/>
    </row>
    <row r="10" spans="1:9" ht="15.75" x14ac:dyDescent="0.25">
      <c r="A10" s="12" t="s">
        <v>182</v>
      </c>
      <c r="B10" s="154" t="s">
        <v>183</v>
      </c>
      <c r="C10" s="166" t="s">
        <v>227</v>
      </c>
      <c r="D10" s="166" t="s">
        <v>228</v>
      </c>
      <c r="E10" s="166" t="s">
        <v>229</v>
      </c>
      <c r="F10" s="166" t="s">
        <v>226</v>
      </c>
      <c r="G10" s="166" t="s">
        <v>51</v>
      </c>
      <c r="H10" s="166" t="s">
        <v>50</v>
      </c>
      <c r="I10" s="166" t="s">
        <v>22</v>
      </c>
    </row>
    <row r="11" spans="1:9" x14ac:dyDescent="0.25">
      <c r="A11" s="12" t="s">
        <v>184</v>
      </c>
      <c r="B11" s="12" t="s">
        <v>230</v>
      </c>
      <c r="C11" s="83">
        <v>527</v>
      </c>
      <c r="D11" s="83">
        <v>220</v>
      </c>
      <c r="E11" s="83">
        <f>(C11/100)*(D11/100)</f>
        <v>11.593999999999999</v>
      </c>
      <c r="F11" s="83">
        <v>90000</v>
      </c>
      <c r="G11" s="83">
        <f>E11*F11</f>
        <v>1043460</v>
      </c>
      <c r="H11" s="83">
        <v>4</v>
      </c>
      <c r="I11" s="83">
        <f>G11*H11</f>
        <v>4173840</v>
      </c>
    </row>
    <row r="12" spans="1:9" x14ac:dyDescent="0.25">
      <c r="A12" s="12" t="s">
        <v>186</v>
      </c>
      <c r="B12" s="12" t="s">
        <v>185</v>
      </c>
      <c r="C12" s="83">
        <v>242</v>
      </c>
      <c r="D12" s="83">
        <v>220</v>
      </c>
      <c r="E12" s="83">
        <f t="shared" ref="E12:E28" si="0">(C12/100)*(D12/100)</f>
        <v>5.3239999999999998</v>
      </c>
      <c r="F12" s="83">
        <v>90000</v>
      </c>
      <c r="G12" s="83">
        <f t="shared" ref="G12:G28" si="1">E12*F12</f>
        <v>479160</v>
      </c>
      <c r="H12" s="83">
        <v>1</v>
      </c>
      <c r="I12" s="83">
        <f t="shared" ref="I12:I28" si="2">G12*H12</f>
        <v>479160</v>
      </c>
    </row>
    <row r="13" spans="1:9" x14ac:dyDescent="0.25">
      <c r="A13" s="12" t="s">
        <v>187</v>
      </c>
      <c r="B13" s="12" t="s">
        <v>188</v>
      </c>
      <c r="C13" s="83">
        <v>200</v>
      </c>
      <c r="D13" s="83">
        <v>120</v>
      </c>
      <c r="E13" s="83">
        <f t="shared" si="0"/>
        <v>2.4</v>
      </c>
      <c r="F13" s="83">
        <v>90000</v>
      </c>
      <c r="G13" s="83">
        <f t="shared" si="1"/>
        <v>216000</v>
      </c>
      <c r="H13" s="83">
        <v>5</v>
      </c>
      <c r="I13" s="83">
        <f t="shared" si="2"/>
        <v>1080000</v>
      </c>
    </row>
    <row r="14" spans="1:9" x14ac:dyDescent="0.25">
      <c r="A14" s="12" t="s">
        <v>189</v>
      </c>
      <c r="B14" s="12" t="s">
        <v>188</v>
      </c>
      <c r="C14" s="83">
        <v>140</v>
      </c>
      <c r="D14" s="83">
        <v>120</v>
      </c>
      <c r="E14" s="83">
        <f t="shared" si="0"/>
        <v>1.68</v>
      </c>
      <c r="F14" s="83">
        <v>90000</v>
      </c>
      <c r="G14" s="83">
        <f t="shared" si="1"/>
        <v>151200</v>
      </c>
      <c r="H14" s="83">
        <v>2</v>
      </c>
      <c r="I14" s="83">
        <f t="shared" si="2"/>
        <v>302400</v>
      </c>
    </row>
    <row r="15" spans="1:9" x14ac:dyDescent="0.25">
      <c r="A15" s="12" t="s">
        <v>190</v>
      </c>
      <c r="B15" s="12" t="s">
        <v>188</v>
      </c>
      <c r="C15" s="83">
        <v>160</v>
      </c>
      <c r="D15" s="83">
        <v>120</v>
      </c>
      <c r="E15" s="83">
        <f t="shared" si="0"/>
        <v>1.92</v>
      </c>
      <c r="F15" s="83">
        <v>90000</v>
      </c>
      <c r="G15" s="83">
        <f t="shared" si="1"/>
        <v>172800</v>
      </c>
      <c r="H15" s="83">
        <v>1</v>
      </c>
      <c r="I15" s="83">
        <f t="shared" si="2"/>
        <v>172800</v>
      </c>
    </row>
    <row r="16" spans="1:9" x14ac:dyDescent="0.25">
      <c r="A16" s="12" t="s">
        <v>191</v>
      </c>
      <c r="B16" s="12" t="s">
        <v>188</v>
      </c>
      <c r="C16" s="83">
        <v>100</v>
      </c>
      <c r="D16" s="83">
        <v>120</v>
      </c>
      <c r="E16" s="83">
        <f t="shared" si="0"/>
        <v>1.2</v>
      </c>
      <c r="F16" s="83">
        <v>90000</v>
      </c>
      <c r="G16" s="83">
        <f t="shared" si="1"/>
        <v>108000</v>
      </c>
      <c r="H16" s="83">
        <v>1</v>
      </c>
      <c r="I16" s="83">
        <f t="shared" si="2"/>
        <v>108000</v>
      </c>
    </row>
    <row r="17" spans="1:9" x14ac:dyDescent="0.25">
      <c r="A17" s="12" t="s">
        <v>192</v>
      </c>
      <c r="B17" s="12" t="s">
        <v>188</v>
      </c>
      <c r="C17" s="83">
        <v>60</v>
      </c>
      <c r="D17" s="83">
        <v>60</v>
      </c>
      <c r="E17" s="83">
        <f t="shared" si="0"/>
        <v>0.36</v>
      </c>
      <c r="F17" s="83">
        <v>90000</v>
      </c>
      <c r="G17" s="83">
        <f t="shared" si="1"/>
        <v>32400</v>
      </c>
      <c r="H17" s="83">
        <v>6</v>
      </c>
      <c r="I17" s="83">
        <f t="shared" si="2"/>
        <v>194400</v>
      </c>
    </row>
    <row r="18" spans="1:9" x14ac:dyDescent="0.25">
      <c r="A18" s="12" t="s">
        <v>193</v>
      </c>
      <c r="B18" s="12" t="s">
        <v>194</v>
      </c>
      <c r="C18" s="83">
        <v>245</v>
      </c>
      <c r="D18" s="83">
        <v>220</v>
      </c>
      <c r="E18" s="83">
        <f t="shared" si="0"/>
        <v>5.3900000000000006</v>
      </c>
      <c r="F18" s="83">
        <v>90000</v>
      </c>
      <c r="G18" s="83">
        <f t="shared" si="1"/>
        <v>485100.00000000006</v>
      </c>
      <c r="H18" s="83">
        <v>1</v>
      </c>
      <c r="I18" s="83">
        <f t="shared" si="2"/>
        <v>485100.00000000006</v>
      </c>
    </row>
    <row r="19" spans="1:9" x14ac:dyDescent="0.25">
      <c r="A19" s="12" t="s">
        <v>195</v>
      </c>
      <c r="B19" s="12" t="s">
        <v>196</v>
      </c>
      <c r="C19" s="83">
        <v>150</v>
      </c>
      <c r="D19" s="83">
        <v>220</v>
      </c>
      <c r="E19" s="83">
        <f t="shared" si="0"/>
        <v>3.3000000000000003</v>
      </c>
      <c r="F19" s="83">
        <v>90000</v>
      </c>
      <c r="G19" s="83">
        <f t="shared" si="1"/>
        <v>297000</v>
      </c>
      <c r="H19" s="83">
        <v>3</v>
      </c>
      <c r="I19" s="83">
        <f t="shared" si="2"/>
        <v>891000</v>
      </c>
    </row>
    <row r="20" spans="1:9" x14ac:dyDescent="0.25">
      <c r="A20" s="12" t="s">
        <v>197</v>
      </c>
      <c r="B20" s="12" t="s">
        <v>198</v>
      </c>
      <c r="C20" s="83">
        <v>120</v>
      </c>
      <c r="D20" s="83">
        <v>220</v>
      </c>
      <c r="E20" s="83">
        <f t="shared" si="0"/>
        <v>2.64</v>
      </c>
      <c r="F20" s="83">
        <v>85000</v>
      </c>
      <c r="G20" s="83">
        <f t="shared" si="1"/>
        <v>224400</v>
      </c>
      <c r="H20" s="83">
        <v>1</v>
      </c>
      <c r="I20" s="167">
        <f t="shared" si="2"/>
        <v>224400</v>
      </c>
    </row>
    <row r="21" spans="1:9" x14ac:dyDescent="0.25">
      <c r="A21" s="12" t="s">
        <v>199</v>
      </c>
      <c r="B21" s="12" t="s">
        <v>200</v>
      </c>
      <c r="C21" s="83">
        <v>90</v>
      </c>
      <c r="D21" s="83">
        <v>220</v>
      </c>
      <c r="E21" s="83">
        <f t="shared" si="0"/>
        <v>1.9800000000000002</v>
      </c>
      <c r="F21" s="83">
        <v>85000</v>
      </c>
      <c r="G21" s="83">
        <f t="shared" si="1"/>
        <v>168300.00000000003</v>
      </c>
      <c r="H21" s="83">
        <v>11</v>
      </c>
      <c r="I21" s="83">
        <f t="shared" si="2"/>
        <v>1851300.0000000002</v>
      </c>
    </row>
    <row r="22" spans="1:9" x14ac:dyDescent="0.25">
      <c r="A22" s="12" t="s">
        <v>201</v>
      </c>
      <c r="B22" s="12" t="s">
        <v>200</v>
      </c>
      <c r="C22" s="83">
        <v>80</v>
      </c>
      <c r="D22" s="83">
        <v>220</v>
      </c>
      <c r="E22" s="83">
        <f t="shared" si="0"/>
        <v>1.7600000000000002</v>
      </c>
      <c r="F22" s="83">
        <v>85000</v>
      </c>
      <c r="G22" s="83">
        <f t="shared" si="1"/>
        <v>149600.00000000003</v>
      </c>
      <c r="H22" s="83">
        <v>15</v>
      </c>
      <c r="I22" s="167">
        <f t="shared" si="2"/>
        <v>2244000.0000000005</v>
      </c>
    </row>
    <row r="23" spans="1:9" x14ac:dyDescent="0.25">
      <c r="A23" s="12" t="s">
        <v>202</v>
      </c>
      <c r="B23" s="12" t="s">
        <v>203</v>
      </c>
      <c r="C23" s="83">
        <v>120</v>
      </c>
      <c r="D23" s="83">
        <v>120</v>
      </c>
      <c r="E23" s="83">
        <f t="shared" si="0"/>
        <v>1.44</v>
      </c>
      <c r="F23" s="83">
        <v>90000</v>
      </c>
      <c r="G23" s="83">
        <f t="shared" si="1"/>
        <v>129600</v>
      </c>
      <c r="H23" s="83">
        <v>2</v>
      </c>
      <c r="I23" s="83">
        <f t="shared" si="2"/>
        <v>259200</v>
      </c>
    </row>
    <row r="24" spans="1:9" x14ac:dyDescent="0.25">
      <c r="A24" s="12" t="s">
        <v>204</v>
      </c>
      <c r="B24" s="12" t="s">
        <v>205</v>
      </c>
      <c r="C24" s="83">
        <v>80</v>
      </c>
      <c r="D24" s="83">
        <v>120</v>
      </c>
      <c r="E24" s="83">
        <f t="shared" si="0"/>
        <v>0.96</v>
      </c>
      <c r="F24" s="83">
        <v>90000</v>
      </c>
      <c r="G24" s="83">
        <f t="shared" si="1"/>
        <v>86400</v>
      </c>
      <c r="H24" s="83">
        <v>2</v>
      </c>
      <c r="I24" s="167">
        <f t="shared" si="2"/>
        <v>172800</v>
      </c>
    </row>
    <row r="25" spans="1:9" x14ac:dyDescent="0.25">
      <c r="A25" s="12" t="s">
        <v>206</v>
      </c>
      <c r="B25" s="12" t="s">
        <v>205</v>
      </c>
      <c r="C25" s="83">
        <v>60</v>
      </c>
      <c r="D25" s="83">
        <v>60</v>
      </c>
      <c r="E25" s="83">
        <f t="shared" si="0"/>
        <v>0.36</v>
      </c>
      <c r="F25" s="83">
        <v>90000</v>
      </c>
      <c r="G25" s="83">
        <f t="shared" si="1"/>
        <v>32400</v>
      </c>
      <c r="H25" s="83">
        <v>1</v>
      </c>
      <c r="I25" s="167">
        <f t="shared" si="2"/>
        <v>32400</v>
      </c>
    </row>
    <row r="26" spans="1:9" x14ac:dyDescent="0.25">
      <c r="A26" s="12" t="s">
        <v>207</v>
      </c>
      <c r="B26" s="12" t="s">
        <v>205</v>
      </c>
      <c r="C26" s="83">
        <v>150</v>
      </c>
      <c r="D26" s="83">
        <v>220</v>
      </c>
      <c r="E26" s="83">
        <f t="shared" si="0"/>
        <v>3.3000000000000003</v>
      </c>
      <c r="F26" s="83">
        <v>90000</v>
      </c>
      <c r="G26" s="83">
        <f t="shared" si="1"/>
        <v>297000</v>
      </c>
      <c r="H26" s="83">
        <v>2</v>
      </c>
      <c r="I26" s="83">
        <f t="shared" si="2"/>
        <v>594000</v>
      </c>
    </row>
    <row r="27" spans="1:9" x14ac:dyDescent="0.25">
      <c r="A27" s="12" t="s">
        <v>208</v>
      </c>
      <c r="B27" s="12" t="s">
        <v>200</v>
      </c>
      <c r="C27" s="83">
        <v>90</v>
      </c>
      <c r="D27" s="83">
        <v>220</v>
      </c>
      <c r="E27" s="83">
        <f t="shared" si="0"/>
        <v>1.9800000000000002</v>
      </c>
      <c r="F27" s="83">
        <v>85000</v>
      </c>
      <c r="G27" s="83">
        <f t="shared" si="1"/>
        <v>168300.00000000003</v>
      </c>
      <c r="H27" s="83">
        <v>1</v>
      </c>
      <c r="I27" s="83">
        <f t="shared" si="2"/>
        <v>168300.00000000003</v>
      </c>
    </row>
    <row r="28" spans="1:9" x14ac:dyDescent="0.25">
      <c r="A28" s="12" t="s">
        <v>209</v>
      </c>
      <c r="B28" s="12" t="s">
        <v>200</v>
      </c>
      <c r="C28" s="83">
        <v>80</v>
      </c>
      <c r="D28" s="83">
        <v>220</v>
      </c>
      <c r="E28" s="83">
        <f t="shared" si="0"/>
        <v>1.7600000000000002</v>
      </c>
      <c r="F28" s="83">
        <v>85000</v>
      </c>
      <c r="G28" s="83">
        <f t="shared" si="1"/>
        <v>149600.00000000003</v>
      </c>
      <c r="H28" s="83">
        <v>8</v>
      </c>
      <c r="I28" s="83">
        <f t="shared" si="2"/>
        <v>1196800.0000000002</v>
      </c>
    </row>
    <row r="31" spans="1:9" ht="23.25" x14ac:dyDescent="0.35">
      <c r="B31" s="5" t="s">
        <v>392</v>
      </c>
      <c r="F31" s="168">
        <f>SUM(I11:I28)</f>
        <v>14629900</v>
      </c>
      <c r="I31" s="168"/>
    </row>
    <row r="33" spans="1:2" x14ac:dyDescent="0.25">
      <c r="A33" t="s">
        <v>210</v>
      </c>
      <c r="B33" t="s">
        <v>211</v>
      </c>
    </row>
    <row r="34" spans="1:2" x14ac:dyDescent="0.25">
      <c r="A34" t="s">
        <v>212</v>
      </c>
      <c r="B34" t="s">
        <v>213</v>
      </c>
    </row>
    <row r="38" spans="1:2" x14ac:dyDescent="0.25">
      <c r="B38" t="s">
        <v>161</v>
      </c>
    </row>
    <row r="39" spans="1:2" x14ac:dyDescent="0.25">
      <c r="B39" t="s">
        <v>162</v>
      </c>
    </row>
    <row r="40" spans="1:2" x14ac:dyDescent="0.25">
      <c r="B40" t="s">
        <v>163</v>
      </c>
    </row>
    <row r="42" spans="1:2" x14ac:dyDescent="0.25">
      <c r="B42" t="s">
        <v>164</v>
      </c>
    </row>
  </sheetData>
  <phoneticPr fontId="7" type="noConversion"/>
  <pageMargins left="0.3" right="0.3" top="0.5" bottom="0.5" header="0.5" footer="0.5"/>
  <pageSetup paperSize="9" scale="71" fitToHeight="0" orientation="landscape" horizontalDpi="4294967292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3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82" customWidth="1"/>
  </cols>
  <sheetData>
    <row r="1" spans="1:6" ht="18.75" x14ac:dyDescent="0.3">
      <c r="A1" s="171" t="s">
        <v>502</v>
      </c>
      <c r="B1" s="171"/>
      <c r="C1" s="171"/>
      <c r="D1" s="171"/>
      <c r="E1" s="171"/>
    </row>
    <row r="2" spans="1:6" ht="18.75" x14ac:dyDescent="0.3">
      <c r="A2" s="146"/>
      <c r="B2" s="146"/>
      <c r="C2" s="146"/>
      <c r="D2" s="146"/>
      <c r="E2" s="147"/>
    </row>
    <row r="3" spans="1:6" ht="18.75" x14ac:dyDescent="0.3">
      <c r="A3" s="146"/>
      <c r="B3" s="146"/>
      <c r="C3" s="146"/>
      <c r="D3" s="146"/>
      <c r="E3" s="147"/>
    </row>
    <row r="4" spans="1:6" ht="18.75" x14ac:dyDescent="0.3">
      <c r="A4" s="146"/>
      <c r="B4" s="146"/>
      <c r="C4" s="146"/>
      <c r="D4" s="146"/>
      <c r="E4" s="147"/>
    </row>
    <row r="5" spans="1:6" ht="18.75" x14ac:dyDescent="0.3">
      <c r="A5" s="146"/>
      <c r="B5" s="146"/>
      <c r="C5" s="146"/>
      <c r="D5" s="146"/>
      <c r="E5" s="147"/>
    </row>
    <row r="6" spans="1:6" ht="18.75" x14ac:dyDescent="0.3">
      <c r="A6" s="146"/>
      <c r="B6" s="146"/>
      <c r="C6" s="146"/>
      <c r="D6" s="146"/>
      <c r="E6" s="147"/>
    </row>
    <row r="7" spans="1:6" ht="18.75" x14ac:dyDescent="0.3">
      <c r="A7" s="146"/>
      <c r="B7" s="146"/>
      <c r="C7" s="146"/>
      <c r="D7" s="146"/>
      <c r="E7" s="147"/>
    </row>
    <row r="8" spans="1:6" ht="18.75" x14ac:dyDescent="0.3">
      <c r="A8" s="146"/>
      <c r="B8" s="146"/>
      <c r="C8" s="146"/>
      <c r="D8" s="146"/>
      <c r="E8" s="147"/>
    </row>
    <row r="9" spans="1:6" x14ac:dyDescent="0.25">
      <c r="A9" s="4" t="s">
        <v>47</v>
      </c>
      <c r="B9" s="4" t="s">
        <v>48</v>
      </c>
      <c r="C9" s="4" t="s">
        <v>49</v>
      </c>
      <c r="D9" s="4" t="s">
        <v>50</v>
      </c>
      <c r="E9" s="143" t="s">
        <v>51</v>
      </c>
      <c r="F9" s="143" t="s">
        <v>22</v>
      </c>
    </row>
    <row r="10" spans="1:6" x14ac:dyDescent="0.25">
      <c r="B10" t="s">
        <v>503</v>
      </c>
      <c r="C10" t="s">
        <v>217</v>
      </c>
      <c r="D10">
        <v>1</v>
      </c>
      <c r="E10" s="82">
        <v>345000</v>
      </c>
      <c r="F10" s="142">
        <f>E10*D10</f>
        <v>345000</v>
      </c>
    </row>
    <row r="11" spans="1:6" x14ac:dyDescent="0.25">
      <c r="B11" t="s">
        <v>504</v>
      </c>
      <c r="C11" t="s">
        <v>217</v>
      </c>
      <c r="D11">
        <v>1</v>
      </c>
      <c r="E11" s="82">
        <v>230000</v>
      </c>
      <c r="F11" s="142">
        <f>E11*D11</f>
        <v>230000</v>
      </c>
    </row>
    <row r="16" spans="1:6" ht="21" x14ac:dyDescent="0.35">
      <c r="B16" s="148" t="s">
        <v>219</v>
      </c>
      <c r="F16" s="90">
        <f>SUM(F10:F11)</f>
        <v>575000</v>
      </c>
    </row>
    <row r="19" spans="2:2" x14ac:dyDescent="0.25">
      <c r="B19" t="s">
        <v>161</v>
      </c>
    </row>
    <row r="20" spans="2:2" x14ac:dyDescent="0.25">
      <c r="B20" t="s">
        <v>162</v>
      </c>
    </row>
    <row r="21" spans="2:2" x14ac:dyDescent="0.25">
      <c r="B21" t="s">
        <v>163</v>
      </c>
    </row>
    <row r="23" spans="2:2" x14ac:dyDescent="0.25">
      <c r="B23" t="s">
        <v>164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19"/>
  <sheetViews>
    <sheetView tabSelected="1" workbookViewId="0">
      <selection activeCell="B15" sqref="B15:B19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x14ac:dyDescent="0.3">
      <c r="A1" s="1" t="s">
        <v>220</v>
      </c>
    </row>
    <row r="2" spans="1:6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22</v>
      </c>
    </row>
    <row r="3" spans="1:6" x14ac:dyDescent="0.25">
      <c r="B3" s="2" t="s">
        <v>221</v>
      </c>
      <c r="F3" s="3"/>
    </row>
    <row r="15" spans="1:6" x14ac:dyDescent="0.25">
      <c r="B15" t="s">
        <v>161</v>
      </c>
    </row>
    <row r="16" spans="1:6" x14ac:dyDescent="0.25">
      <c r="B16" t="s">
        <v>162</v>
      </c>
    </row>
    <row r="17" spans="2:2" x14ac:dyDescent="0.25">
      <c r="B17" t="s">
        <v>163</v>
      </c>
    </row>
    <row r="19" spans="2:2" x14ac:dyDescent="0.25">
      <c r="B19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29C2-0F9C-4A63-A5A0-4FD877D903B6}">
  <sheetPr>
    <pageSetUpPr fitToPage="1"/>
  </sheetPr>
  <dimension ref="A1:G91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0" customWidth="1"/>
    <col min="2" max="2" width="165.140625" customWidth="1"/>
    <col min="3" max="3" width="10" customWidth="1"/>
    <col min="4" max="4" width="12" customWidth="1"/>
    <col min="5" max="6" width="18" style="34" customWidth="1"/>
    <col min="7" max="7" width="23.42578125" customWidth="1"/>
  </cols>
  <sheetData>
    <row r="1" spans="1:7" ht="18.75" x14ac:dyDescent="0.3">
      <c r="A1" s="22" t="s">
        <v>520</v>
      </c>
    </row>
    <row r="2" spans="1:7" x14ac:dyDescent="0.25">
      <c r="A2" t="s">
        <v>289</v>
      </c>
    </row>
    <row r="7" spans="1:7" x14ac:dyDescent="0.25">
      <c r="A7" t="s">
        <v>290</v>
      </c>
    </row>
    <row r="10" spans="1:7" x14ac:dyDescent="0.25">
      <c r="A10" s="10" t="s">
        <v>47</v>
      </c>
      <c r="B10" s="10" t="s">
        <v>48</v>
      </c>
      <c r="C10" s="10" t="s">
        <v>49</v>
      </c>
      <c r="D10" s="10" t="s">
        <v>50</v>
      </c>
      <c r="E10" s="35" t="s">
        <v>51</v>
      </c>
      <c r="F10" s="35" t="s">
        <v>22</v>
      </c>
      <c r="G10" t="s">
        <v>307</v>
      </c>
    </row>
    <row r="12" spans="1:7" x14ac:dyDescent="0.25">
      <c r="A12" s="15"/>
      <c r="B12" s="16" t="s">
        <v>231</v>
      </c>
      <c r="C12" s="15"/>
      <c r="D12" s="15"/>
      <c r="E12" s="36"/>
      <c r="F12" s="36"/>
    </row>
    <row r="13" spans="1:7" x14ac:dyDescent="0.25">
      <c r="A13" s="11" t="s">
        <v>216</v>
      </c>
      <c r="B13" s="12" t="s">
        <v>232</v>
      </c>
      <c r="C13" s="11" t="s">
        <v>217</v>
      </c>
      <c r="D13" s="11">
        <v>44</v>
      </c>
      <c r="E13" s="37">
        <v>35000</v>
      </c>
      <c r="F13" s="37">
        <f>D13*E13*1.189</f>
        <v>1831060</v>
      </c>
    </row>
    <row r="14" spans="1:7" x14ac:dyDescent="0.25">
      <c r="A14" s="11" t="s">
        <v>233</v>
      </c>
      <c r="B14" s="12" t="s">
        <v>234</v>
      </c>
      <c r="C14" s="11" t="s">
        <v>217</v>
      </c>
      <c r="D14" s="11">
        <v>4</v>
      </c>
      <c r="E14" s="37">
        <v>67500</v>
      </c>
      <c r="F14" s="37">
        <f t="shared" ref="F14:F23" si="0">D14*E14*1.189</f>
        <v>321030</v>
      </c>
    </row>
    <row r="15" spans="1:7" x14ac:dyDescent="0.25">
      <c r="A15" s="11" t="s">
        <v>235</v>
      </c>
      <c r="B15" s="12" t="s">
        <v>236</v>
      </c>
      <c r="C15" s="11" t="s">
        <v>217</v>
      </c>
      <c r="D15" s="11">
        <v>0</v>
      </c>
      <c r="E15" s="37">
        <v>1400</v>
      </c>
      <c r="F15" s="37">
        <f t="shared" si="0"/>
        <v>0</v>
      </c>
    </row>
    <row r="16" spans="1:7" x14ac:dyDescent="0.25">
      <c r="A16" s="11" t="s">
        <v>237</v>
      </c>
      <c r="B16" s="12" t="s">
        <v>238</v>
      </c>
      <c r="C16" s="11" t="s">
        <v>217</v>
      </c>
      <c r="D16" s="11">
        <v>20</v>
      </c>
      <c r="E16" s="37">
        <v>22250</v>
      </c>
      <c r="F16" s="37">
        <f t="shared" si="0"/>
        <v>529105</v>
      </c>
    </row>
    <row r="17" spans="1:7" x14ac:dyDescent="0.25">
      <c r="A17" s="11" t="s">
        <v>239</v>
      </c>
      <c r="B17" s="12" t="s">
        <v>240</v>
      </c>
      <c r="C17" s="11" t="s">
        <v>217</v>
      </c>
      <c r="D17" s="11">
        <v>9</v>
      </c>
      <c r="E17" s="37">
        <v>17700</v>
      </c>
      <c r="F17" s="37">
        <f t="shared" si="0"/>
        <v>189407.7</v>
      </c>
    </row>
    <row r="18" spans="1:7" x14ac:dyDescent="0.25">
      <c r="A18" s="11" t="s">
        <v>241</v>
      </c>
      <c r="B18" s="12" t="s">
        <v>242</v>
      </c>
      <c r="C18" s="11" t="s">
        <v>217</v>
      </c>
      <c r="D18" s="11">
        <v>4</v>
      </c>
      <c r="E18" s="37">
        <v>22500</v>
      </c>
      <c r="F18" s="37">
        <f t="shared" si="0"/>
        <v>107010</v>
      </c>
    </row>
    <row r="19" spans="1:7" x14ac:dyDescent="0.25">
      <c r="A19" s="11" t="s">
        <v>243</v>
      </c>
      <c r="B19" s="12" t="s">
        <v>244</v>
      </c>
      <c r="C19" s="11" t="s">
        <v>217</v>
      </c>
      <c r="D19" s="11">
        <v>2</v>
      </c>
      <c r="E19" s="37">
        <v>79800</v>
      </c>
      <c r="F19" s="37">
        <f t="shared" si="0"/>
        <v>189764.40000000002</v>
      </c>
    </row>
    <row r="20" spans="1:7" x14ac:dyDescent="0.25">
      <c r="A20" s="11" t="s">
        <v>245</v>
      </c>
      <c r="B20" s="12" t="s">
        <v>246</v>
      </c>
      <c r="C20" s="11" t="s">
        <v>217</v>
      </c>
      <c r="D20" s="11">
        <v>19</v>
      </c>
      <c r="E20" s="37">
        <v>5950</v>
      </c>
      <c r="F20" s="37">
        <f t="shared" si="0"/>
        <v>134416.45000000001</v>
      </c>
    </row>
    <row r="21" spans="1:7" x14ac:dyDescent="0.25">
      <c r="A21" s="11" t="s">
        <v>247</v>
      </c>
      <c r="B21" s="12" t="s">
        <v>248</v>
      </c>
      <c r="C21" s="11" t="s">
        <v>217</v>
      </c>
      <c r="D21" s="11">
        <v>4</v>
      </c>
      <c r="E21" s="37">
        <v>1070</v>
      </c>
      <c r="F21" s="37">
        <f t="shared" si="0"/>
        <v>5088.92</v>
      </c>
    </row>
    <row r="22" spans="1:7" x14ac:dyDescent="0.25">
      <c r="A22" s="11" t="s">
        <v>249</v>
      </c>
      <c r="B22" s="12" t="s">
        <v>250</v>
      </c>
      <c r="C22" s="11" t="s">
        <v>217</v>
      </c>
      <c r="D22" s="11">
        <v>2</v>
      </c>
      <c r="E22" s="37">
        <v>1506</v>
      </c>
      <c r="F22" s="37">
        <f t="shared" si="0"/>
        <v>3581.268</v>
      </c>
    </row>
    <row r="23" spans="1:7" x14ac:dyDescent="0.25">
      <c r="A23" s="11" t="s">
        <v>251</v>
      </c>
      <c r="B23" s="12" t="s">
        <v>252</v>
      </c>
      <c r="C23" s="11" t="s">
        <v>217</v>
      </c>
      <c r="D23" s="11">
        <v>20</v>
      </c>
      <c r="E23" s="37">
        <v>1288</v>
      </c>
      <c r="F23" s="37">
        <f t="shared" si="0"/>
        <v>30628.640000000003</v>
      </c>
    </row>
    <row r="24" spans="1:7" ht="18.75" x14ac:dyDescent="0.25">
      <c r="A24" s="28"/>
      <c r="C24" s="28"/>
      <c r="D24" s="28"/>
      <c r="E24" s="49" t="s">
        <v>325</v>
      </c>
      <c r="F24" s="38">
        <f>SUM(F13:F23)</f>
        <v>3341092.3780000005</v>
      </c>
    </row>
    <row r="25" spans="1:7" x14ac:dyDescent="0.25">
      <c r="A25" s="29"/>
      <c r="B25" s="30" t="s">
        <v>304</v>
      </c>
      <c r="C25" s="29"/>
      <c r="D25" s="29"/>
      <c r="E25" s="39"/>
      <c r="F25" s="39"/>
    </row>
    <row r="26" spans="1:7" ht="52.5" customHeight="1" x14ac:dyDescent="0.3">
      <c r="A26" s="11" t="s">
        <v>254</v>
      </c>
      <c r="B26" s="31" t="s">
        <v>306</v>
      </c>
      <c r="C26" s="11" t="s">
        <v>217</v>
      </c>
      <c r="D26" s="11">
        <v>13</v>
      </c>
      <c r="E26" s="40">
        <v>67275</v>
      </c>
      <c r="F26" s="37">
        <f>D26*E26*1.189</f>
        <v>1039869.675</v>
      </c>
      <c r="G26" s="52" t="s">
        <v>338</v>
      </c>
    </row>
    <row r="27" spans="1:7" ht="44.25" customHeight="1" x14ac:dyDescent="0.3">
      <c r="A27" s="11" t="s">
        <v>255</v>
      </c>
      <c r="B27" s="25" t="s">
        <v>305</v>
      </c>
      <c r="C27" s="11" t="s">
        <v>217</v>
      </c>
      <c r="D27" s="11">
        <v>19</v>
      </c>
      <c r="E27" s="40">
        <v>43125</v>
      </c>
      <c r="F27" s="37">
        <f t="shared" ref="F27" si="1">D27*E27*1.189</f>
        <v>974236.875</v>
      </c>
      <c r="G27" s="52" t="s">
        <v>338</v>
      </c>
    </row>
    <row r="28" spans="1:7" ht="18.75" x14ac:dyDescent="0.25">
      <c r="A28" s="28"/>
      <c r="C28" s="28"/>
      <c r="D28" s="28"/>
      <c r="E28" s="49" t="s">
        <v>326</v>
      </c>
      <c r="F28" s="38">
        <f>SUM(F26:F27)</f>
        <v>2014106.55</v>
      </c>
    </row>
    <row r="29" spans="1:7" x14ac:dyDescent="0.25">
      <c r="A29" s="17"/>
      <c r="B29" s="18" t="s">
        <v>253</v>
      </c>
      <c r="C29" s="17"/>
      <c r="D29" s="17"/>
      <c r="E29" s="41"/>
      <c r="F29" s="41"/>
    </row>
    <row r="30" spans="1:7" ht="17.25" x14ac:dyDescent="0.3">
      <c r="A30" s="11" t="s">
        <v>256</v>
      </c>
      <c r="B30" s="54" t="s">
        <v>333</v>
      </c>
      <c r="C30" s="11" t="s">
        <v>217</v>
      </c>
      <c r="D30" s="11">
        <v>27</v>
      </c>
      <c r="E30" s="55">
        <v>8980</v>
      </c>
      <c r="F30" s="37">
        <f>D30*E30*1.189</f>
        <v>288284.94</v>
      </c>
      <c r="G30" s="52" t="s">
        <v>337</v>
      </c>
    </row>
    <row r="31" spans="1:7" ht="17.25" x14ac:dyDescent="0.3">
      <c r="A31" s="11" t="s">
        <v>257</v>
      </c>
      <c r="B31" s="54" t="s">
        <v>334</v>
      </c>
      <c r="C31" s="11" t="s">
        <v>217</v>
      </c>
      <c r="D31" s="11">
        <v>20</v>
      </c>
      <c r="E31" s="55">
        <v>8980</v>
      </c>
      <c r="F31" s="37">
        <f t="shared" ref="F31:F41" si="2">D31*E31*1.189</f>
        <v>213544.40000000002</v>
      </c>
      <c r="G31" s="52" t="s">
        <v>337</v>
      </c>
    </row>
    <row r="32" spans="1:7" ht="17.25" x14ac:dyDescent="0.3">
      <c r="A32" s="11" t="s">
        <v>260</v>
      </c>
      <c r="B32" s="54" t="s">
        <v>335</v>
      </c>
      <c r="C32" s="11" t="s">
        <v>217</v>
      </c>
      <c r="D32" s="11">
        <v>5</v>
      </c>
      <c r="E32" s="55">
        <v>10350</v>
      </c>
      <c r="F32" s="37">
        <f t="shared" si="2"/>
        <v>61530.75</v>
      </c>
      <c r="G32" s="52" t="s">
        <v>337</v>
      </c>
    </row>
    <row r="33" spans="1:7" ht="17.25" x14ac:dyDescent="0.3">
      <c r="A33" s="11" t="s">
        <v>261</v>
      </c>
      <c r="B33" s="54" t="s">
        <v>336</v>
      </c>
      <c r="C33" s="11" t="s">
        <v>217</v>
      </c>
      <c r="D33" s="11">
        <v>2</v>
      </c>
      <c r="E33" s="55">
        <v>46000</v>
      </c>
      <c r="F33" s="37">
        <f t="shared" si="2"/>
        <v>109388</v>
      </c>
      <c r="G33" s="52" t="s">
        <v>337</v>
      </c>
    </row>
    <row r="34" spans="1:7" ht="17.25" x14ac:dyDescent="0.3">
      <c r="A34" s="11" t="s">
        <v>262</v>
      </c>
      <c r="B34" s="53" t="s">
        <v>332</v>
      </c>
      <c r="C34" s="11" t="s">
        <v>217</v>
      </c>
      <c r="D34" s="11">
        <v>1</v>
      </c>
      <c r="E34" s="56">
        <v>4990028</v>
      </c>
      <c r="F34" s="37">
        <f t="shared" si="2"/>
        <v>5933143.2920000004</v>
      </c>
      <c r="G34" s="52" t="s">
        <v>339</v>
      </c>
    </row>
    <row r="35" spans="1:7" ht="17.25" x14ac:dyDescent="0.3">
      <c r="A35" s="11" t="s">
        <v>263</v>
      </c>
      <c r="B35" s="57" t="s">
        <v>340</v>
      </c>
      <c r="C35" s="11" t="s">
        <v>217</v>
      </c>
      <c r="D35" s="11">
        <v>95</v>
      </c>
      <c r="E35" s="56">
        <v>5750</v>
      </c>
      <c r="F35" s="37">
        <f t="shared" si="2"/>
        <v>649491.25</v>
      </c>
      <c r="G35" s="52" t="s">
        <v>338</v>
      </c>
    </row>
    <row r="36" spans="1:7" ht="17.25" x14ac:dyDescent="0.3">
      <c r="A36" s="11" t="s">
        <v>264</v>
      </c>
      <c r="B36" s="57" t="s">
        <v>342</v>
      </c>
      <c r="C36" s="11" t="s">
        <v>217</v>
      </c>
      <c r="D36" s="11">
        <v>20</v>
      </c>
      <c r="E36" s="56">
        <v>15600</v>
      </c>
      <c r="F36" s="37">
        <f t="shared" si="2"/>
        <v>370968</v>
      </c>
      <c r="G36" s="52" t="s">
        <v>341</v>
      </c>
    </row>
    <row r="37" spans="1:7" ht="18.75" x14ac:dyDescent="0.3">
      <c r="A37" s="11" t="s">
        <v>265</v>
      </c>
      <c r="B37" s="58" t="s">
        <v>343</v>
      </c>
      <c r="C37" s="11" t="s">
        <v>217</v>
      </c>
      <c r="D37" s="11">
        <v>10</v>
      </c>
      <c r="E37" s="56">
        <v>8660</v>
      </c>
      <c r="F37" s="37">
        <f t="shared" si="2"/>
        <v>102967.40000000001</v>
      </c>
      <c r="G37" s="52" t="s">
        <v>341</v>
      </c>
    </row>
    <row r="38" spans="1:7" ht="17.25" x14ac:dyDescent="0.3">
      <c r="A38" s="11" t="s">
        <v>266</v>
      </c>
      <c r="B38" s="58" t="s">
        <v>344</v>
      </c>
      <c r="C38" s="11" t="s">
        <v>217</v>
      </c>
      <c r="D38" s="11">
        <v>10</v>
      </c>
      <c r="E38" s="37">
        <v>8660</v>
      </c>
      <c r="F38" s="37">
        <f t="shared" si="2"/>
        <v>102967.40000000001</v>
      </c>
      <c r="G38" s="52" t="s">
        <v>341</v>
      </c>
    </row>
    <row r="39" spans="1:7" ht="17.25" x14ac:dyDescent="0.3">
      <c r="A39" s="11" t="s">
        <v>268</v>
      </c>
      <c r="B39" s="58" t="s">
        <v>345</v>
      </c>
      <c r="C39" s="11" t="s">
        <v>217</v>
      </c>
      <c r="D39" s="11">
        <v>3</v>
      </c>
      <c r="E39" s="37">
        <v>8660</v>
      </c>
      <c r="F39" s="37"/>
      <c r="G39" s="52" t="s">
        <v>341</v>
      </c>
    </row>
    <row r="40" spans="1:7" ht="17.25" x14ac:dyDescent="0.3">
      <c r="A40" s="11" t="s">
        <v>269</v>
      </c>
      <c r="B40" s="12" t="s">
        <v>258</v>
      </c>
      <c r="C40" s="11" t="s">
        <v>217</v>
      </c>
      <c r="D40" s="11">
        <v>5</v>
      </c>
      <c r="E40" s="37">
        <v>8050</v>
      </c>
      <c r="F40" s="37">
        <f t="shared" si="2"/>
        <v>47857.25</v>
      </c>
      <c r="G40" s="52" t="s">
        <v>337</v>
      </c>
    </row>
    <row r="41" spans="1:7" ht="17.25" x14ac:dyDescent="0.3">
      <c r="A41" s="11" t="s">
        <v>270</v>
      </c>
      <c r="B41" s="12" t="s">
        <v>346</v>
      </c>
      <c r="C41" s="11" t="s">
        <v>217</v>
      </c>
      <c r="D41" s="66">
        <v>95</v>
      </c>
      <c r="E41" s="37">
        <v>8016</v>
      </c>
      <c r="F41" s="37">
        <f t="shared" si="2"/>
        <v>905447.28</v>
      </c>
      <c r="G41" s="52"/>
    </row>
    <row r="42" spans="1:7" ht="18.75" x14ac:dyDescent="0.25">
      <c r="E42" s="49" t="s">
        <v>327</v>
      </c>
      <c r="F42" s="38">
        <f>SUM(F30:F41)</f>
        <v>8785589.9620000012</v>
      </c>
    </row>
    <row r="43" spans="1:7" x14ac:dyDescent="0.25">
      <c r="A43" s="19"/>
      <c r="B43" s="20" t="s">
        <v>259</v>
      </c>
      <c r="C43" s="19"/>
      <c r="D43" s="19"/>
      <c r="E43" s="42"/>
      <c r="F43" s="42"/>
    </row>
    <row r="44" spans="1:7" x14ac:dyDescent="0.25">
      <c r="A44" s="11" t="s">
        <v>271</v>
      </c>
      <c r="B44" s="64" t="s">
        <v>352</v>
      </c>
      <c r="C44" s="11" t="s">
        <v>170</v>
      </c>
      <c r="D44" s="11">
        <v>2000</v>
      </c>
      <c r="E44" s="37">
        <v>1150</v>
      </c>
      <c r="F44" s="37">
        <f>D44*E44*1.189</f>
        <v>2734700</v>
      </c>
    </row>
    <row r="45" spans="1:7" x14ac:dyDescent="0.25">
      <c r="A45" s="11" t="s">
        <v>272</v>
      </c>
      <c r="B45" s="64" t="s">
        <v>353</v>
      </c>
      <c r="C45" s="11" t="s">
        <v>170</v>
      </c>
      <c r="D45" s="11">
        <v>2500</v>
      </c>
      <c r="E45" s="37">
        <v>1495</v>
      </c>
      <c r="F45" s="37">
        <f t="shared" ref="F45:F68" si="3">D45*E45*1.189</f>
        <v>4443887.5</v>
      </c>
    </row>
    <row r="46" spans="1:7" x14ac:dyDescent="0.25">
      <c r="A46" s="11" t="s">
        <v>273</v>
      </c>
      <c r="B46" s="64" t="s">
        <v>354</v>
      </c>
      <c r="C46" s="11" t="s">
        <v>170</v>
      </c>
      <c r="D46" s="11">
        <v>150</v>
      </c>
      <c r="E46" s="37">
        <v>2100</v>
      </c>
      <c r="F46" s="37">
        <f t="shared" si="3"/>
        <v>374535</v>
      </c>
    </row>
    <row r="47" spans="1:7" x14ac:dyDescent="0.25">
      <c r="A47" s="11" t="s">
        <v>274</v>
      </c>
      <c r="B47" s="64" t="s">
        <v>355</v>
      </c>
      <c r="C47" s="11" t="s">
        <v>170</v>
      </c>
      <c r="D47" s="11">
        <v>100</v>
      </c>
      <c r="E47" s="37">
        <v>6652</v>
      </c>
      <c r="F47" s="37">
        <f t="shared" si="3"/>
        <v>790922.8</v>
      </c>
    </row>
    <row r="48" spans="1:7" x14ac:dyDescent="0.25">
      <c r="A48" s="11" t="s">
        <v>275</v>
      </c>
      <c r="B48" s="64" t="s">
        <v>356</v>
      </c>
      <c r="C48" s="11" t="s">
        <v>170</v>
      </c>
      <c r="D48" s="11">
        <v>100</v>
      </c>
      <c r="E48" s="37">
        <v>15942</v>
      </c>
      <c r="F48" s="37">
        <f t="shared" si="3"/>
        <v>1895503.8</v>
      </c>
    </row>
    <row r="49" spans="1:7" x14ac:dyDescent="0.25">
      <c r="A49" s="11" t="s">
        <v>276</v>
      </c>
      <c r="B49" s="64" t="s">
        <v>357</v>
      </c>
      <c r="C49" s="11" t="s">
        <v>170</v>
      </c>
      <c r="D49" s="11">
        <v>150</v>
      </c>
      <c r="E49" s="37">
        <v>14300</v>
      </c>
      <c r="F49" s="37">
        <f t="shared" si="3"/>
        <v>2550405</v>
      </c>
    </row>
    <row r="50" spans="1:7" x14ac:dyDescent="0.25">
      <c r="A50" s="11" t="s">
        <v>277</v>
      </c>
      <c r="B50" s="14" t="s">
        <v>267</v>
      </c>
      <c r="C50" s="11" t="s">
        <v>170</v>
      </c>
      <c r="D50" s="11">
        <v>50</v>
      </c>
      <c r="E50" s="37">
        <v>14375</v>
      </c>
      <c r="F50" s="37">
        <f t="shared" si="3"/>
        <v>854593.75</v>
      </c>
    </row>
    <row r="51" spans="1:7" x14ac:dyDescent="0.25">
      <c r="A51" s="11" t="s">
        <v>278</v>
      </c>
      <c r="B51" s="64" t="s">
        <v>358</v>
      </c>
      <c r="C51" s="11" t="s">
        <v>217</v>
      </c>
      <c r="D51" s="11">
        <v>6</v>
      </c>
      <c r="E51" s="37">
        <v>51750</v>
      </c>
      <c r="F51" s="37">
        <f t="shared" si="3"/>
        <v>369184.5</v>
      </c>
    </row>
    <row r="52" spans="1:7" x14ac:dyDescent="0.25">
      <c r="A52" s="11" t="s">
        <v>279</v>
      </c>
      <c r="B52" s="64" t="s">
        <v>359</v>
      </c>
      <c r="C52" s="11" t="s">
        <v>217</v>
      </c>
      <c r="D52" s="11">
        <v>9</v>
      </c>
      <c r="E52" s="37">
        <v>43700</v>
      </c>
      <c r="F52" s="37">
        <f t="shared" si="3"/>
        <v>467633.7</v>
      </c>
    </row>
    <row r="53" spans="1:7" x14ac:dyDescent="0.25">
      <c r="A53" s="11" t="s">
        <v>286</v>
      </c>
      <c r="B53" s="64" t="s">
        <v>360</v>
      </c>
      <c r="C53" s="11" t="s">
        <v>217</v>
      </c>
      <c r="D53" s="11">
        <v>14</v>
      </c>
      <c r="E53" s="37">
        <v>34500</v>
      </c>
      <c r="F53" s="37">
        <f t="shared" si="3"/>
        <v>574287</v>
      </c>
    </row>
    <row r="54" spans="1:7" x14ac:dyDescent="0.25">
      <c r="A54" s="11" t="s">
        <v>287</v>
      </c>
      <c r="B54" s="64" t="s">
        <v>361</v>
      </c>
      <c r="C54" s="11" t="s">
        <v>217</v>
      </c>
      <c r="D54" s="11">
        <v>11</v>
      </c>
      <c r="E54" s="37">
        <v>28750</v>
      </c>
      <c r="F54" s="37">
        <f t="shared" si="3"/>
        <v>376021.25</v>
      </c>
    </row>
    <row r="55" spans="1:7" x14ac:dyDescent="0.25">
      <c r="A55" s="11" t="s">
        <v>295</v>
      </c>
      <c r="B55" s="64" t="s">
        <v>362</v>
      </c>
      <c r="C55" s="11" t="s">
        <v>217</v>
      </c>
      <c r="D55" s="11">
        <v>200</v>
      </c>
      <c r="E55" s="37">
        <v>575</v>
      </c>
      <c r="F55" s="37">
        <f t="shared" si="3"/>
        <v>136735</v>
      </c>
    </row>
    <row r="56" spans="1:7" x14ac:dyDescent="0.25">
      <c r="A56" s="11" t="s">
        <v>296</v>
      </c>
      <c r="B56" s="64" t="s">
        <v>363</v>
      </c>
      <c r="C56" s="11" t="s">
        <v>217</v>
      </c>
      <c r="D56" s="11">
        <v>46</v>
      </c>
      <c r="E56" s="37">
        <v>5750</v>
      </c>
      <c r="F56" s="37">
        <f t="shared" si="3"/>
        <v>314490.5</v>
      </c>
    </row>
    <row r="57" spans="1:7" x14ac:dyDescent="0.25">
      <c r="A57" s="11" t="s">
        <v>297</v>
      </c>
      <c r="B57" s="64" t="s">
        <v>364</v>
      </c>
      <c r="C57" s="11" t="s">
        <v>217</v>
      </c>
      <c r="D57" s="11">
        <v>8</v>
      </c>
      <c r="E57" s="43">
        <v>11500</v>
      </c>
      <c r="F57" s="37">
        <f t="shared" si="3"/>
        <v>109388</v>
      </c>
    </row>
    <row r="58" spans="1:7" x14ac:dyDescent="0.25">
      <c r="A58" s="11" t="s">
        <v>300</v>
      </c>
      <c r="B58" s="63" t="s">
        <v>282</v>
      </c>
      <c r="C58" s="11" t="s">
        <v>217</v>
      </c>
      <c r="D58" s="11">
        <v>1</v>
      </c>
      <c r="E58" s="43">
        <v>41970</v>
      </c>
      <c r="F58" s="37">
        <f t="shared" si="3"/>
        <v>49902.33</v>
      </c>
    </row>
    <row r="59" spans="1:7" x14ac:dyDescent="0.25">
      <c r="A59" s="11" t="s">
        <v>301</v>
      </c>
      <c r="B59" s="63" t="s">
        <v>283</v>
      </c>
      <c r="C59" s="11" t="s">
        <v>217</v>
      </c>
      <c r="D59" s="11">
        <v>1</v>
      </c>
      <c r="E59" s="43"/>
      <c r="F59" s="37">
        <f t="shared" si="3"/>
        <v>0</v>
      </c>
    </row>
    <row r="60" spans="1:7" x14ac:dyDescent="0.25">
      <c r="A60" s="11" t="s">
        <v>302</v>
      </c>
      <c r="B60" s="63" t="s">
        <v>284</v>
      </c>
      <c r="C60" s="11" t="s">
        <v>217</v>
      </c>
      <c r="D60" s="11">
        <v>3</v>
      </c>
      <c r="E60" s="43"/>
      <c r="F60" s="37">
        <f t="shared" si="3"/>
        <v>0</v>
      </c>
    </row>
    <row r="61" spans="1:7" x14ac:dyDescent="0.25">
      <c r="A61" s="11" t="s">
        <v>303</v>
      </c>
      <c r="B61" s="63" t="s">
        <v>285</v>
      </c>
      <c r="C61" s="11" t="s">
        <v>217</v>
      </c>
      <c r="D61" s="11">
        <v>3</v>
      </c>
      <c r="E61" s="43"/>
      <c r="F61" s="37">
        <f t="shared" si="3"/>
        <v>0</v>
      </c>
    </row>
    <row r="62" spans="1:7" x14ac:dyDescent="0.25">
      <c r="A62" s="11" t="s">
        <v>309</v>
      </c>
      <c r="B62" s="62" t="s">
        <v>351</v>
      </c>
      <c r="C62" s="11" t="s">
        <v>217</v>
      </c>
      <c r="D62" s="11">
        <v>35</v>
      </c>
      <c r="E62" s="37">
        <v>26450</v>
      </c>
      <c r="F62" s="37">
        <f t="shared" si="3"/>
        <v>1100716.75</v>
      </c>
    </row>
    <row r="63" spans="1:7" x14ac:dyDescent="0.25">
      <c r="A63" s="11" t="s">
        <v>310</v>
      </c>
      <c r="B63" s="63" t="s">
        <v>291</v>
      </c>
      <c r="C63" s="11" t="s">
        <v>217</v>
      </c>
      <c r="D63" s="11">
        <v>0</v>
      </c>
      <c r="E63" s="37"/>
      <c r="F63" s="37">
        <f t="shared" si="3"/>
        <v>0</v>
      </c>
    </row>
    <row r="64" spans="1:7" x14ac:dyDescent="0.25">
      <c r="A64" s="11" t="s">
        <v>313</v>
      </c>
      <c r="B64" s="63" t="s">
        <v>292</v>
      </c>
      <c r="C64" s="11" t="s">
        <v>217</v>
      </c>
      <c r="D64" s="11">
        <v>0</v>
      </c>
      <c r="E64" s="37">
        <v>368000</v>
      </c>
      <c r="F64" s="37">
        <f t="shared" si="3"/>
        <v>0</v>
      </c>
      <c r="G64" t="s">
        <v>347</v>
      </c>
    </row>
    <row r="65" spans="1:6" x14ac:dyDescent="0.25">
      <c r="A65" s="11" t="s">
        <v>314</v>
      </c>
      <c r="B65" s="63" t="s">
        <v>293</v>
      </c>
      <c r="C65" s="11" t="s">
        <v>217</v>
      </c>
      <c r="D65" s="11">
        <v>4</v>
      </c>
      <c r="E65" s="37">
        <v>184800</v>
      </c>
      <c r="F65" s="37">
        <f t="shared" si="3"/>
        <v>878908.8</v>
      </c>
    </row>
    <row r="66" spans="1:6" x14ac:dyDescent="0.25">
      <c r="A66" s="11" t="s">
        <v>320</v>
      </c>
      <c r="B66" s="14" t="s">
        <v>294</v>
      </c>
      <c r="C66" s="11" t="s">
        <v>217</v>
      </c>
      <c r="D66" s="11">
        <v>0</v>
      </c>
      <c r="E66" s="37">
        <v>14300</v>
      </c>
      <c r="F66" s="37">
        <f t="shared" si="3"/>
        <v>0</v>
      </c>
    </row>
    <row r="67" spans="1:6" x14ac:dyDescent="0.25">
      <c r="A67" s="11" t="s">
        <v>321</v>
      </c>
      <c r="B67" s="64" t="s">
        <v>349</v>
      </c>
      <c r="C67" s="11" t="s">
        <v>55</v>
      </c>
      <c r="D67" s="11">
        <v>1</v>
      </c>
      <c r="E67" s="37">
        <v>1725000</v>
      </c>
      <c r="F67" s="37">
        <f t="shared" si="3"/>
        <v>2051025</v>
      </c>
    </row>
    <row r="68" spans="1:6" x14ac:dyDescent="0.25">
      <c r="A68" s="11" t="s">
        <v>322</v>
      </c>
      <c r="B68" s="64" t="s">
        <v>350</v>
      </c>
      <c r="C68" s="11" t="s">
        <v>217</v>
      </c>
      <c r="D68" s="11">
        <v>1</v>
      </c>
      <c r="E68" s="37">
        <v>989000</v>
      </c>
      <c r="F68" s="37">
        <f t="shared" si="3"/>
        <v>1175921</v>
      </c>
    </row>
    <row r="69" spans="1:6" x14ac:dyDescent="0.25">
      <c r="A69" s="11"/>
      <c r="B69" s="14"/>
      <c r="C69" s="11" t="s">
        <v>217</v>
      </c>
      <c r="D69" s="11">
        <v>1</v>
      </c>
      <c r="E69" s="37"/>
      <c r="F69" s="37"/>
    </row>
    <row r="70" spans="1:6" ht="18.75" x14ac:dyDescent="0.25">
      <c r="A70" s="60"/>
      <c r="B70" s="61"/>
      <c r="C70" s="60"/>
      <c r="D70" s="60"/>
      <c r="E70" s="49" t="s">
        <v>328</v>
      </c>
      <c r="F70" s="38">
        <f>SUM(F44:F68)</f>
        <v>21248761.68</v>
      </c>
    </row>
    <row r="71" spans="1:6" ht="15.75" x14ac:dyDescent="0.25">
      <c r="A71" s="24"/>
      <c r="B71" s="172" t="s">
        <v>298</v>
      </c>
      <c r="C71" s="173"/>
      <c r="D71" s="173"/>
      <c r="E71" s="173"/>
      <c r="F71" s="173"/>
    </row>
    <row r="72" spans="1:6" x14ac:dyDescent="0.25">
      <c r="A72" s="11" t="s">
        <v>369</v>
      </c>
      <c r="B72" s="59" t="s">
        <v>348</v>
      </c>
      <c r="C72" s="11" t="s">
        <v>217</v>
      </c>
      <c r="D72" s="11">
        <v>2</v>
      </c>
      <c r="E72" s="37">
        <v>9028000</v>
      </c>
      <c r="F72" s="37">
        <f>D72*E72*1.189</f>
        <v>21468584</v>
      </c>
    </row>
    <row r="73" spans="1:6" ht="18.75" x14ac:dyDescent="0.25">
      <c r="E73" s="49" t="s">
        <v>329</v>
      </c>
      <c r="F73" s="38">
        <f>F72</f>
        <v>21468584</v>
      </c>
    </row>
    <row r="74" spans="1:6" x14ac:dyDescent="0.25">
      <c r="A74" s="21"/>
      <c r="B74" s="23" t="s">
        <v>299</v>
      </c>
      <c r="C74" s="21"/>
      <c r="D74" s="21"/>
      <c r="E74" s="44"/>
      <c r="F74" s="44"/>
    </row>
    <row r="75" spans="1:6" s="6" customFormat="1" ht="16.5" x14ac:dyDescent="0.3">
      <c r="A75" s="11" t="s">
        <v>370</v>
      </c>
      <c r="B75" s="54" t="s">
        <v>365</v>
      </c>
      <c r="C75" s="11" t="s">
        <v>217</v>
      </c>
      <c r="D75" s="26">
        <v>1</v>
      </c>
      <c r="E75" s="45">
        <v>5750000</v>
      </c>
      <c r="F75" s="37">
        <f t="shared" ref="F75:F78" si="4">D75*E75*1.189</f>
        <v>6836750</v>
      </c>
    </row>
    <row r="76" spans="1:6" s="6" customFormat="1" ht="16.5" x14ac:dyDescent="0.3">
      <c r="A76" s="11" t="s">
        <v>371</v>
      </c>
      <c r="B76" s="54" t="s">
        <v>366</v>
      </c>
      <c r="C76" s="11" t="s">
        <v>217</v>
      </c>
      <c r="D76" s="26">
        <v>1</v>
      </c>
      <c r="E76" s="45">
        <v>227200</v>
      </c>
      <c r="F76" s="37">
        <f t="shared" si="4"/>
        <v>270140.79999999999</v>
      </c>
    </row>
    <row r="77" spans="1:6" s="6" customFormat="1" ht="16.5" x14ac:dyDescent="0.3">
      <c r="A77" s="11" t="s">
        <v>372</v>
      </c>
      <c r="B77" s="54" t="s">
        <v>367</v>
      </c>
      <c r="C77" s="11" t="s">
        <v>217</v>
      </c>
      <c r="D77" s="26">
        <v>1</v>
      </c>
      <c r="E77" s="45">
        <v>1150000</v>
      </c>
      <c r="F77" s="37">
        <f t="shared" si="4"/>
        <v>1367350</v>
      </c>
    </row>
    <row r="78" spans="1:6" s="6" customFormat="1" ht="16.5" x14ac:dyDescent="0.3">
      <c r="A78" s="11" t="s">
        <v>373</v>
      </c>
      <c r="B78" s="54" t="s">
        <v>368</v>
      </c>
      <c r="C78" s="11" t="s">
        <v>217</v>
      </c>
      <c r="D78" s="26">
        <v>1</v>
      </c>
      <c r="E78" s="45">
        <v>59200</v>
      </c>
      <c r="F78" s="37">
        <f t="shared" si="4"/>
        <v>70388.800000000003</v>
      </c>
    </row>
    <row r="79" spans="1:6" s="6" customFormat="1" ht="16.5" x14ac:dyDescent="0.3">
      <c r="A79" s="28"/>
      <c r="B79" s="51"/>
      <c r="C79" s="28"/>
      <c r="D79" s="27"/>
      <c r="E79" s="65"/>
      <c r="F79" s="38"/>
    </row>
    <row r="80" spans="1:6" ht="18.75" x14ac:dyDescent="0.25">
      <c r="E80" s="49" t="s">
        <v>330</v>
      </c>
      <c r="F80" s="38">
        <f>SUM(F75:F78)</f>
        <v>8544629.6000000015</v>
      </c>
    </row>
    <row r="81" spans="2:6" ht="18.75" x14ac:dyDescent="0.25">
      <c r="E81" s="49"/>
      <c r="F81" s="38"/>
    </row>
    <row r="82" spans="2:6" ht="18.75" x14ac:dyDescent="0.3">
      <c r="B82" s="145" t="s">
        <v>498</v>
      </c>
      <c r="E82" s="49"/>
      <c r="F82" s="38">
        <v>14593985</v>
      </c>
    </row>
    <row r="84" spans="2:6" ht="26.25" x14ac:dyDescent="0.4">
      <c r="B84" s="118" t="s">
        <v>331</v>
      </c>
      <c r="C84" s="50"/>
      <c r="F84" s="38">
        <f>F28+F24+F42+F70+F73</f>
        <v>56858134.57</v>
      </c>
    </row>
    <row r="87" spans="2:6" x14ac:dyDescent="0.25">
      <c r="B87" t="s">
        <v>161</v>
      </c>
    </row>
    <row r="88" spans="2:6" x14ac:dyDescent="0.25">
      <c r="B88" t="s">
        <v>162</v>
      </c>
    </row>
    <row r="89" spans="2:6" x14ac:dyDescent="0.25">
      <c r="B89" t="s">
        <v>163</v>
      </c>
    </row>
    <row r="91" spans="2:6" x14ac:dyDescent="0.25">
      <c r="B91" t="s">
        <v>164</v>
      </c>
    </row>
  </sheetData>
  <mergeCells count="1">
    <mergeCell ref="B71:F71"/>
  </mergeCells>
  <phoneticPr fontId="7" type="noConversion"/>
  <pageMargins left="0.3" right="0.3" top="0.5" bottom="0.5" header="0.5" footer="0.5"/>
  <pageSetup paperSize="9" scale="53" fitToHeight="0" orientation="landscape" horizontalDpi="4294967292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2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0" customWidth="1"/>
    <col min="2" max="2" width="165.140625" customWidth="1"/>
    <col min="3" max="3" width="10" customWidth="1"/>
    <col min="4" max="4" width="12" customWidth="1"/>
    <col min="5" max="6" width="18" style="34" customWidth="1"/>
    <col min="7" max="7" width="23.42578125" customWidth="1"/>
  </cols>
  <sheetData>
    <row r="1" spans="1:7" ht="18.75" x14ac:dyDescent="0.3">
      <c r="A1" s="22" t="s">
        <v>288</v>
      </c>
    </row>
    <row r="8" spans="1:7" x14ac:dyDescent="0.25">
      <c r="A8" t="s">
        <v>290</v>
      </c>
    </row>
    <row r="11" spans="1:7" x14ac:dyDescent="0.25">
      <c r="A11" s="10" t="s">
        <v>47</v>
      </c>
      <c r="B11" s="10" t="s">
        <v>48</v>
      </c>
      <c r="C11" s="10" t="s">
        <v>49</v>
      </c>
      <c r="D11" s="10" t="s">
        <v>50</v>
      </c>
      <c r="E11" s="35" t="s">
        <v>51</v>
      </c>
      <c r="F11" s="35" t="s">
        <v>22</v>
      </c>
      <c r="G11" t="s">
        <v>307</v>
      </c>
    </row>
    <row r="13" spans="1:7" x14ac:dyDescent="0.25">
      <c r="A13" s="15"/>
      <c r="B13" s="16" t="s">
        <v>231</v>
      </c>
      <c r="C13" s="15"/>
      <c r="D13" s="15"/>
      <c r="E13" s="36"/>
      <c r="F13" s="36"/>
    </row>
    <row r="14" spans="1:7" x14ac:dyDescent="0.25">
      <c r="A14" s="11" t="s">
        <v>216</v>
      </c>
      <c r="B14" s="12" t="s">
        <v>232</v>
      </c>
      <c r="C14" s="11" t="s">
        <v>217</v>
      </c>
      <c r="D14" s="11">
        <v>135</v>
      </c>
      <c r="E14" s="37">
        <v>35000</v>
      </c>
      <c r="F14" s="37">
        <f>D14*E14*1.189</f>
        <v>5618025</v>
      </c>
    </row>
    <row r="15" spans="1:7" x14ac:dyDescent="0.25">
      <c r="A15" s="11" t="s">
        <v>233</v>
      </c>
      <c r="B15" s="12" t="s">
        <v>234</v>
      </c>
      <c r="C15" s="11" t="s">
        <v>217</v>
      </c>
      <c r="D15" s="11">
        <v>25</v>
      </c>
      <c r="E15" s="37">
        <v>67500</v>
      </c>
      <c r="F15" s="37">
        <f t="shared" ref="F15:F24" si="0">D15*E15*1.189</f>
        <v>2006437.5</v>
      </c>
    </row>
    <row r="16" spans="1:7" x14ac:dyDescent="0.25">
      <c r="A16" s="11" t="s">
        <v>235</v>
      </c>
      <c r="B16" s="12" t="s">
        <v>236</v>
      </c>
      <c r="C16" s="11" t="s">
        <v>217</v>
      </c>
      <c r="D16" s="11">
        <v>20</v>
      </c>
      <c r="E16" s="37">
        <v>1400</v>
      </c>
      <c r="F16" s="37">
        <f t="shared" si="0"/>
        <v>33292</v>
      </c>
    </row>
    <row r="17" spans="1:7" x14ac:dyDescent="0.25">
      <c r="A17" s="11" t="s">
        <v>237</v>
      </c>
      <c r="B17" s="12" t="s">
        <v>238</v>
      </c>
      <c r="C17" s="11" t="s">
        <v>217</v>
      </c>
      <c r="D17" s="11">
        <v>20</v>
      </c>
      <c r="E17" s="37">
        <v>22250</v>
      </c>
      <c r="F17" s="37">
        <f t="shared" si="0"/>
        <v>529105</v>
      </c>
    </row>
    <row r="18" spans="1:7" x14ac:dyDescent="0.25">
      <c r="A18" s="11" t="s">
        <v>239</v>
      </c>
      <c r="B18" s="12" t="s">
        <v>240</v>
      </c>
      <c r="C18" s="11" t="s">
        <v>217</v>
      </c>
      <c r="D18" s="11">
        <v>36</v>
      </c>
      <c r="E18" s="37">
        <v>17700</v>
      </c>
      <c r="F18" s="37">
        <f t="shared" si="0"/>
        <v>757630.8</v>
      </c>
    </row>
    <row r="19" spans="1:7" x14ac:dyDescent="0.25">
      <c r="A19" s="11" t="s">
        <v>241</v>
      </c>
      <c r="B19" s="12" t="s">
        <v>242</v>
      </c>
      <c r="C19" s="11" t="s">
        <v>217</v>
      </c>
      <c r="D19" s="11">
        <v>32</v>
      </c>
      <c r="E19" s="37">
        <v>22500</v>
      </c>
      <c r="F19" s="37">
        <f t="shared" si="0"/>
        <v>856080</v>
      </c>
    </row>
    <row r="20" spans="1:7" x14ac:dyDescent="0.25">
      <c r="A20" s="11" t="s">
        <v>243</v>
      </c>
      <c r="B20" s="12" t="s">
        <v>244</v>
      </c>
      <c r="C20" s="11" t="s">
        <v>217</v>
      </c>
      <c r="D20" s="11">
        <v>8</v>
      </c>
      <c r="E20" s="37">
        <v>79800</v>
      </c>
      <c r="F20" s="37">
        <f t="shared" si="0"/>
        <v>759057.60000000009</v>
      </c>
    </row>
    <row r="21" spans="1:7" x14ac:dyDescent="0.25">
      <c r="A21" s="11" t="s">
        <v>245</v>
      </c>
      <c r="B21" s="12" t="s">
        <v>246</v>
      </c>
      <c r="C21" s="11" t="s">
        <v>217</v>
      </c>
      <c r="D21" s="11">
        <v>76</v>
      </c>
      <c r="E21" s="37">
        <v>5950</v>
      </c>
      <c r="F21" s="37">
        <f t="shared" si="0"/>
        <v>537665.80000000005</v>
      </c>
    </row>
    <row r="22" spans="1:7" x14ac:dyDescent="0.25">
      <c r="A22" s="11" t="s">
        <v>247</v>
      </c>
      <c r="B22" s="12" t="s">
        <v>248</v>
      </c>
      <c r="C22" s="11" t="s">
        <v>217</v>
      </c>
      <c r="D22" s="11">
        <v>40</v>
      </c>
      <c r="E22" s="37">
        <v>1070</v>
      </c>
      <c r="F22" s="37">
        <f t="shared" si="0"/>
        <v>50889.200000000004</v>
      </c>
    </row>
    <row r="23" spans="1:7" x14ac:dyDescent="0.25">
      <c r="A23" s="11" t="s">
        <v>249</v>
      </c>
      <c r="B23" s="12" t="s">
        <v>250</v>
      </c>
      <c r="C23" s="11" t="s">
        <v>217</v>
      </c>
      <c r="D23" s="11">
        <v>24</v>
      </c>
      <c r="E23" s="37">
        <v>1506</v>
      </c>
      <c r="F23" s="37">
        <f t="shared" si="0"/>
        <v>42975.216</v>
      </c>
    </row>
    <row r="24" spans="1:7" x14ac:dyDescent="0.25">
      <c r="A24" s="11" t="s">
        <v>251</v>
      </c>
      <c r="B24" s="12" t="s">
        <v>252</v>
      </c>
      <c r="C24" s="11" t="s">
        <v>217</v>
      </c>
      <c r="D24" s="11">
        <v>20</v>
      </c>
      <c r="E24" s="37">
        <v>1288</v>
      </c>
      <c r="F24" s="37">
        <f t="shared" si="0"/>
        <v>30628.640000000003</v>
      </c>
    </row>
    <row r="25" spans="1:7" ht="18.75" x14ac:dyDescent="0.25">
      <c r="A25" s="28"/>
      <c r="C25" s="28"/>
      <c r="D25" s="28"/>
      <c r="E25" s="49" t="s">
        <v>325</v>
      </c>
      <c r="F25" s="38">
        <f>SUM(F14:F24)</f>
        <v>11221786.756000001</v>
      </c>
    </row>
    <row r="26" spans="1:7" x14ac:dyDescent="0.25">
      <c r="A26" s="29"/>
      <c r="B26" s="30" t="s">
        <v>304</v>
      </c>
      <c r="C26" s="29"/>
      <c r="D26" s="29"/>
      <c r="E26" s="39"/>
      <c r="F26" s="39"/>
    </row>
    <row r="27" spans="1:7" ht="52.5" customHeight="1" x14ac:dyDescent="0.25">
      <c r="A27" s="11" t="s">
        <v>254</v>
      </c>
      <c r="B27" s="31" t="s">
        <v>306</v>
      </c>
      <c r="C27" s="11" t="s">
        <v>217</v>
      </c>
      <c r="D27" s="11">
        <v>64</v>
      </c>
      <c r="E27" s="40">
        <v>0</v>
      </c>
      <c r="F27" s="37">
        <f>D27*E27*1.189</f>
        <v>0</v>
      </c>
      <c r="G27" t="s">
        <v>308</v>
      </c>
    </row>
    <row r="28" spans="1:7" ht="44.25" customHeight="1" x14ac:dyDescent="0.25">
      <c r="A28" s="11" t="s">
        <v>255</v>
      </c>
      <c r="B28" s="25" t="s">
        <v>305</v>
      </c>
      <c r="C28" s="11" t="s">
        <v>217</v>
      </c>
      <c r="D28" s="11">
        <v>76</v>
      </c>
      <c r="E28" s="40">
        <v>0</v>
      </c>
      <c r="F28" s="37">
        <f t="shared" ref="F28" si="1">D28*E28*1.189</f>
        <v>0</v>
      </c>
      <c r="G28" t="s">
        <v>308</v>
      </c>
    </row>
    <row r="29" spans="1:7" ht="18.75" x14ac:dyDescent="0.25">
      <c r="A29" s="28"/>
      <c r="C29" s="28"/>
      <c r="D29" s="28"/>
      <c r="E29" s="49" t="s">
        <v>326</v>
      </c>
      <c r="F29" s="38">
        <f>SUM(F27:F28)</f>
        <v>0</v>
      </c>
    </row>
    <row r="30" spans="1:7" x14ac:dyDescent="0.25">
      <c r="A30" s="17"/>
      <c r="B30" s="18" t="s">
        <v>253</v>
      </c>
      <c r="C30" s="17"/>
      <c r="D30" s="17"/>
      <c r="E30" s="41"/>
      <c r="F30" s="41"/>
    </row>
    <row r="31" spans="1:7" ht="17.25" x14ac:dyDescent="0.3">
      <c r="A31" s="11" t="s">
        <v>256</v>
      </c>
      <c r="B31" s="54" t="s">
        <v>333</v>
      </c>
      <c r="C31" s="11" t="s">
        <v>217</v>
      </c>
      <c r="D31" s="11">
        <v>128</v>
      </c>
      <c r="E31" s="55">
        <v>8980</v>
      </c>
      <c r="F31" s="37">
        <f>D31*E31*1.189</f>
        <v>1366684.1600000001</v>
      </c>
      <c r="G31" s="52" t="s">
        <v>337</v>
      </c>
    </row>
    <row r="32" spans="1:7" ht="17.25" x14ac:dyDescent="0.3">
      <c r="A32" s="11" t="s">
        <v>257</v>
      </c>
      <c r="B32" s="54" t="s">
        <v>334</v>
      </c>
      <c r="C32" s="11" t="s">
        <v>217</v>
      </c>
      <c r="D32" s="11">
        <v>90</v>
      </c>
      <c r="E32" s="55">
        <v>8980</v>
      </c>
      <c r="F32" s="37">
        <f t="shared" ref="F32:F35" si="2">D32*E32*1.189</f>
        <v>960949.8</v>
      </c>
      <c r="G32" s="52" t="s">
        <v>337</v>
      </c>
    </row>
    <row r="33" spans="1:7" ht="17.25" x14ac:dyDescent="0.3">
      <c r="A33" s="11" t="s">
        <v>260</v>
      </c>
      <c r="B33" s="54" t="s">
        <v>335</v>
      </c>
      <c r="C33" s="11" t="s">
        <v>217</v>
      </c>
      <c r="D33" s="11">
        <v>20</v>
      </c>
      <c r="E33" s="55">
        <v>10350</v>
      </c>
      <c r="F33" s="37">
        <f t="shared" si="2"/>
        <v>246123</v>
      </c>
      <c r="G33" s="52" t="s">
        <v>337</v>
      </c>
    </row>
    <row r="34" spans="1:7" ht="17.25" x14ac:dyDescent="0.3">
      <c r="A34" s="11" t="s">
        <v>261</v>
      </c>
      <c r="B34" s="54" t="s">
        <v>336</v>
      </c>
      <c r="C34" s="11" t="s">
        <v>217</v>
      </c>
      <c r="D34" s="11">
        <v>15</v>
      </c>
      <c r="E34" s="55">
        <v>46000</v>
      </c>
      <c r="F34" s="37">
        <f t="shared" si="2"/>
        <v>820410</v>
      </c>
      <c r="G34" s="52" t="s">
        <v>337</v>
      </c>
    </row>
    <row r="35" spans="1:7" ht="17.25" x14ac:dyDescent="0.3">
      <c r="A35" s="11" t="s">
        <v>262</v>
      </c>
      <c r="B35" s="53" t="s">
        <v>332</v>
      </c>
      <c r="C35" s="11" t="s">
        <v>217</v>
      </c>
      <c r="D35" s="11">
        <v>1</v>
      </c>
      <c r="E35" s="56">
        <v>4990028</v>
      </c>
      <c r="F35" s="37">
        <f t="shared" si="2"/>
        <v>5933143.2920000004</v>
      </c>
      <c r="G35" s="52" t="s">
        <v>339</v>
      </c>
    </row>
    <row r="36" spans="1:7" ht="17.25" x14ac:dyDescent="0.3">
      <c r="A36" s="11" t="s">
        <v>263</v>
      </c>
      <c r="B36" s="57" t="s">
        <v>340</v>
      </c>
      <c r="C36" s="11" t="s">
        <v>217</v>
      </c>
      <c r="D36" s="11">
        <v>324</v>
      </c>
      <c r="E36" s="56">
        <v>5750</v>
      </c>
      <c r="F36" s="37">
        <f t="shared" ref="F36:F42" si="3">D36*E36*1.189</f>
        <v>2215107</v>
      </c>
      <c r="G36" s="52" t="s">
        <v>338</v>
      </c>
    </row>
    <row r="37" spans="1:7" ht="17.25" x14ac:dyDescent="0.3">
      <c r="A37" s="11" t="s">
        <v>264</v>
      </c>
      <c r="B37" s="57" t="s">
        <v>342</v>
      </c>
      <c r="C37" s="11" t="s">
        <v>217</v>
      </c>
      <c r="D37" s="11">
        <v>100</v>
      </c>
      <c r="E37" s="56">
        <v>15600</v>
      </c>
      <c r="F37" s="37">
        <f t="shared" si="3"/>
        <v>1854840</v>
      </c>
      <c r="G37" s="52" t="s">
        <v>341</v>
      </c>
    </row>
    <row r="38" spans="1:7" ht="18.75" x14ac:dyDescent="0.3">
      <c r="A38" s="11" t="s">
        <v>265</v>
      </c>
      <c r="B38" s="58" t="s">
        <v>343</v>
      </c>
      <c r="C38" s="11" t="s">
        <v>217</v>
      </c>
      <c r="D38" s="11">
        <v>50</v>
      </c>
      <c r="E38" s="56">
        <v>8660</v>
      </c>
      <c r="F38" s="37">
        <f t="shared" si="3"/>
        <v>514837</v>
      </c>
      <c r="G38" s="52" t="s">
        <v>341</v>
      </c>
    </row>
    <row r="39" spans="1:7" ht="17.25" x14ac:dyDescent="0.3">
      <c r="A39" s="11" t="s">
        <v>266</v>
      </c>
      <c r="B39" s="58" t="s">
        <v>344</v>
      </c>
      <c r="C39" s="11" t="s">
        <v>217</v>
      </c>
      <c r="D39" s="11">
        <v>46</v>
      </c>
      <c r="E39" s="37">
        <v>8660</v>
      </c>
      <c r="F39" s="37">
        <f t="shared" si="3"/>
        <v>473650.04000000004</v>
      </c>
      <c r="G39" s="52" t="s">
        <v>341</v>
      </c>
    </row>
    <row r="40" spans="1:7" ht="17.25" x14ac:dyDescent="0.3">
      <c r="A40" s="11" t="s">
        <v>268</v>
      </c>
      <c r="B40" s="58" t="s">
        <v>345</v>
      </c>
      <c r="C40" s="11" t="s">
        <v>217</v>
      </c>
      <c r="D40" s="11">
        <v>46</v>
      </c>
      <c r="E40" s="37">
        <v>8660</v>
      </c>
      <c r="F40" s="37"/>
      <c r="G40" s="52" t="s">
        <v>341</v>
      </c>
    </row>
    <row r="41" spans="1:7" ht="17.25" x14ac:dyDescent="0.3">
      <c r="A41" s="11" t="s">
        <v>269</v>
      </c>
      <c r="B41" s="12" t="s">
        <v>258</v>
      </c>
      <c r="C41" s="11" t="s">
        <v>217</v>
      </c>
      <c r="D41" s="11">
        <v>25</v>
      </c>
      <c r="E41" s="37">
        <v>8050</v>
      </c>
      <c r="F41" s="37">
        <f t="shared" si="3"/>
        <v>239286.25</v>
      </c>
      <c r="G41" s="52" t="s">
        <v>337</v>
      </c>
    </row>
    <row r="42" spans="1:7" ht="17.25" x14ac:dyDescent="0.3">
      <c r="A42" s="11" t="s">
        <v>270</v>
      </c>
      <c r="B42" s="12" t="s">
        <v>346</v>
      </c>
      <c r="C42" s="11" t="s">
        <v>217</v>
      </c>
      <c r="D42" s="11">
        <v>95</v>
      </c>
      <c r="E42" s="37">
        <v>8016</v>
      </c>
      <c r="F42" s="37">
        <f t="shared" si="3"/>
        <v>905447.28</v>
      </c>
      <c r="G42" s="52"/>
    </row>
    <row r="43" spans="1:7" ht="18.75" x14ac:dyDescent="0.25">
      <c r="E43" s="49" t="s">
        <v>327</v>
      </c>
      <c r="F43" s="38">
        <f>SUM(F31:F42)</f>
        <v>15530477.821999999</v>
      </c>
    </row>
    <row r="44" spans="1:7" x14ac:dyDescent="0.25">
      <c r="A44" s="19"/>
      <c r="B44" s="20" t="s">
        <v>259</v>
      </c>
      <c r="C44" s="19"/>
      <c r="D44" s="19"/>
      <c r="E44" s="42"/>
      <c r="F44" s="42"/>
    </row>
    <row r="45" spans="1:7" x14ac:dyDescent="0.25">
      <c r="A45" s="11" t="s">
        <v>262</v>
      </c>
      <c r="B45" s="64" t="s">
        <v>352</v>
      </c>
      <c r="C45" s="11" t="s">
        <v>170</v>
      </c>
      <c r="D45" s="11">
        <v>6500</v>
      </c>
      <c r="E45" s="37">
        <v>1150</v>
      </c>
      <c r="F45" s="37">
        <f>D45*E45*1.189</f>
        <v>8887775</v>
      </c>
    </row>
    <row r="46" spans="1:7" x14ac:dyDescent="0.25">
      <c r="A46" s="11" t="s">
        <v>263</v>
      </c>
      <c r="B46" s="64" t="s">
        <v>353</v>
      </c>
      <c r="C46" s="11" t="s">
        <v>170</v>
      </c>
      <c r="D46" s="11">
        <v>7500</v>
      </c>
      <c r="E46" s="37">
        <v>1495</v>
      </c>
      <c r="F46" s="37">
        <f t="shared" ref="F46:F69" si="4">D46*E46*1.189</f>
        <v>13331662.5</v>
      </c>
    </row>
    <row r="47" spans="1:7" x14ac:dyDescent="0.25">
      <c r="A47" s="11" t="s">
        <v>264</v>
      </c>
      <c r="B47" s="64" t="s">
        <v>354</v>
      </c>
      <c r="C47" s="11" t="s">
        <v>170</v>
      </c>
      <c r="D47" s="11">
        <v>500</v>
      </c>
      <c r="E47" s="37">
        <v>2100</v>
      </c>
      <c r="F47" s="37">
        <f t="shared" si="4"/>
        <v>1248450</v>
      </c>
    </row>
    <row r="48" spans="1:7" x14ac:dyDescent="0.25">
      <c r="A48" s="11" t="s">
        <v>265</v>
      </c>
      <c r="B48" s="64" t="s">
        <v>355</v>
      </c>
      <c r="C48" s="11" t="s">
        <v>170</v>
      </c>
      <c r="D48" s="11">
        <v>300</v>
      </c>
      <c r="E48" s="37">
        <v>6652</v>
      </c>
      <c r="F48" s="37">
        <f t="shared" si="4"/>
        <v>2372768.4</v>
      </c>
    </row>
    <row r="49" spans="1:6" x14ac:dyDescent="0.25">
      <c r="A49" s="11" t="s">
        <v>266</v>
      </c>
      <c r="B49" s="64" t="s">
        <v>356</v>
      </c>
      <c r="C49" s="11" t="s">
        <v>170</v>
      </c>
      <c r="D49" s="11">
        <v>300</v>
      </c>
      <c r="E49" s="37">
        <v>15942</v>
      </c>
      <c r="F49" s="37">
        <f t="shared" si="4"/>
        <v>5686511.4000000004</v>
      </c>
    </row>
    <row r="50" spans="1:6" x14ac:dyDescent="0.25">
      <c r="A50" s="11" t="s">
        <v>268</v>
      </c>
      <c r="B50" s="64" t="s">
        <v>357</v>
      </c>
      <c r="C50" s="11" t="s">
        <v>170</v>
      </c>
      <c r="D50" s="11">
        <v>150</v>
      </c>
      <c r="E50" s="37">
        <v>14300</v>
      </c>
      <c r="F50" s="37">
        <f t="shared" si="4"/>
        <v>2550405</v>
      </c>
    </row>
    <row r="51" spans="1:6" x14ac:dyDescent="0.25">
      <c r="A51" s="11" t="s">
        <v>269</v>
      </c>
      <c r="B51" s="14" t="s">
        <v>267</v>
      </c>
      <c r="C51" s="11" t="s">
        <v>170</v>
      </c>
      <c r="D51" s="11">
        <v>50</v>
      </c>
      <c r="E51" s="37">
        <v>14375</v>
      </c>
      <c r="F51" s="37">
        <f t="shared" si="4"/>
        <v>854593.75</v>
      </c>
    </row>
    <row r="52" spans="1:6" x14ac:dyDescent="0.25">
      <c r="A52" s="11" t="s">
        <v>270</v>
      </c>
      <c r="B52" s="64" t="s">
        <v>358</v>
      </c>
      <c r="C52" s="11" t="s">
        <v>217</v>
      </c>
      <c r="D52" s="11">
        <v>10</v>
      </c>
      <c r="E52" s="37">
        <v>51750</v>
      </c>
      <c r="F52" s="37">
        <f t="shared" si="4"/>
        <v>615307.5</v>
      </c>
    </row>
    <row r="53" spans="1:6" x14ac:dyDescent="0.25">
      <c r="A53" s="11" t="s">
        <v>271</v>
      </c>
      <c r="B53" s="64" t="s">
        <v>359</v>
      </c>
      <c r="C53" s="11" t="s">
        <v>217</v>
      </c>
      <c r="D53" s="11">
        <v>15</v>
      </c>
      <c r="E53" s="37">
        <v>43700</v>
      </c>
      <c r="F53" s="37">
        <f t="shared" si="4"/>
        <v>779389.5</v>
      </c>
    </row>
    <row r="54" spans="1:6" x14ac:dyDescent="0.25">
      <c r="A54" s="11" t="s">
        <v>272</v>
      </c>
      <c r="B54" s="64" t="s">
        <v>360</v>
      </c>
      <c r="C54" s="11" t="s">
        <v>217</v>
      </c>
      <c r="D54" s="11">
        <v>50</v>
      </c>
      <c r="E54" s="37">
        <v>34500</v>
      </c>
      <c r="F54" s="37">
        <f t="shared" si="4"/>
        <v>2051025</v>
      </c>
    </row>
    <row r="55" spans="1:6" x14ac:dyDescent="0.25">
      <c r="A55" s="11" t="s">
        <v>273</v>
      </c>
      <c r="B55" s="64" t="s">
        <v>361</v>
      </c>
      <c r="C55" s="11" t="s">
        <v>217</v>
      </c>
      <c r="D55" s="11">
        <v>50</v>
      </c>
      <c r="E55" s="37">
        <v>28750</v>
      </c>
      <c r="F55" s="37">
        <f t="shared" si="4"/>
        <v>1709187.5</v>
      </c>
    </row>
    <row r="56" spans="1:6" x14ac:dyDescent="0.25">
      <c r="A56" s="11" t="s">
        <v>274</v>
      </c>
      <c r="B56" s="64" t="s">
        <v>362</v>
      </c>
      <c r="C56" s="11" t="s">
        <v>217</v>
      </c>
      <c r="D56" s="11">
        <v>800</v>
      </c>
      <c r="E56" s="37">
        <v>575</v>
      </c>
      <c r="F56" s="37">
        <f t="shared" si="4"/>
        <v>546940</v>
      </c>
    </row>
    <row r="57" spans="1:6" x14ac:dyDescent="0.25">
      <c r="A57" s="11" t="s">
        <v>275</v>
      </c>
      <c r="B57" s="64" t="s">
        <v>363</v>
      </c>
      <c r="C57" s="11" t="s">
        <v>217</v>
      </c>
      <c r="D57" s="11">
        <v>200</v>
      </c>
      <c r="E57" s="37">
        <v>5750</v>
      </c>
      <c r="F57" s="37">
        <f t="shared" si="4"/>
        <v>1367350</v>
      </c>
    </row>
    <row r="58" spans="1:6" x14ac:dyDescent="0.25">
      <c r="A58" s="11" t="s">
        <v>276</v>
      </c>
      <c r="B58" s="64" t="s">
        <v>364</v>
      </c>
      <c r="C58" s="11" t="s">
        <v>217</v>
      </c>
      <c r="D58" s="11">
        <v>25</v>
      </c>
      <c r="E58" s="43">
        <v>11500</v>
      </c>
      <c r="F58" s="37">
        <f t="shared" si="4"/>
        <v>341837.5</v>
      </c>
    </row>
    <row r="59" spans="1:6" x14ac:dyDescent="0.25">
      <c r="A59" s="11" t="s">
        <v>277</v>
      </c>
      <c r="B59" s="63" t="s">
        <v>282</v>
      </c>
      <c r="C59" s="11" t="s">
        <v>217</v>
      </c>
      <c r="D59" s="11">
        <v>3</v>
      </c>
      <c r="E59" s="43">
        <v>41970</v>
      </c>
      <c r="F59" s="37">
        <f t="shared" si="4"/>
        <v>149706.99000000002</v>
      </c>
    </row>
    <row r="60" spans="1:6" x14ac:dyDescent="0.25">
      <c r="A60" s="11" t="s">
        <v>278</v>
      </c>
      <c r="B60" s="63" t="s">
        <v>283</v>
      </c>
      <c r="C60" s="11" t="s">
        <v>217</v>
      </c>
      <c r="D60" s="11">
        <v>3</v>
      </c>
      <c r="E60" s="43"/>
      <c r="F60" s="37">
        <f t="shared" si="4"/>
        <v>0</v>
      </c>
    </row>
    <row r="61" spans="1:6" x14ac:dyDescent="0.25">
      <c r="A61" s="11" t="s">
        <v>279</v>
      </c>
      <c r="B61" s="63" t="s">
        <v>284</v>
      </c>
      <c r="C61" s="11" t="s">
        <v>217</v>
      </c>
      <c r="D61" s="11">
        <v>10</v>
      </c>
      <c r="E61" s="43"/>
      <c r="F61" s="37">
        <f t="shared" si="4"/>
        <v>0</v>
      </c>
    </row>
    <row r="62" spans="1:6" x14ac:dyDescent="0.25">
      <c r="A62" s="11" t="s">
        <v>286</v>
      </c>
      <c r="B62" s="63" t="s">
        <v>285</v>
      </c>
      <c r="C62" s="11" t="s">
        <v>217</v>
      </c>
      <c r="D62" s="11">
        <v>10</v>
      </c>
      <c r="E62" s="43"/>
      <c r="F62" s="37">
        <f t="shared" si="4"/>
        <v>0</v>
      </c>
    </row>
    <row r="63" spans="1:6" x14ac:dyDescent="0.25">
      <c r="A63" s="11" t="s">
        <v>287</v>
      </c>
      <c r="B63" s="62" t="s">
        <v>351</v>
      </c>
      <c r="C63" s="11" t="s">
        <v>217</v>
      </c>
      <c r="D63" s="11">
        <v>100</v>
      </c>
      <c r="E63" s="37">
        <v>26450</v>
      </c>
      <c r="F63" s="37">
        <f t="shared" si="4"/>
        <v>3144905</v>
      </c>
    </row>
    <row r="64" spans="1:6" x14ac:dyDescent="0.25">
      <c r="A64" s="11" t="s">
        <v>295</v>
      </c>
      <c r="B64" s="63" t="s">
        <v>291</v>
      </c>
      <c r="C64" s="11" t="s">
        <v>217</v>
      </c>
      <c r="D64" s="11">
        <v>100</v>
      </c>
      <c r="E64" s="37"/>
      <c r="F64" s="37">
        <f t="shared" si="4"/>
        <v>0</v>
      </c>
    </row>
    <row r="65" spans="1:7" x14ac:dyDescent="0.25">
      <c r="A65" s="11" t="s">
        <v>296</v>
      </c>
      <c r="B65" s="63" t="s">
        <v>292</v>
      </c>
      <c r="C65" s="11" t="s">
        <v>217</v>
      </c>
      <c r="D65" s="11">
        <v>18</v>
      </c>
      <c r="E65" s="37">
        <v>368000</v>
      </c>
      <c r="F65" s="37">
        <f t="shared" si="4"/>
        <v>7875936</v>
      </c>
      <c r="G65" t="s">
        <v>347</v>
      </c>
    </row>
    <row r="66" spans="1:7" x14ac:dyDescent="0.25">
      <c r="A66" s="11" t="s">
        <v>297</v>
      </c>
      <c r="B66" s="63" t="s">
        <v>293</v>
      </c>
      <c r="C66" s="11" t="s">
        <v>217</v>
      </c>
      <c r="D66" s="11">
        <v>4</v>
      </c>
      <c r="E66" s="37">
        <v>184800</v>
      </c>
      <c r="F66" s="37">
        <f t="shared" si="4"/>
        <v>878908.8</v>
      </c>
    </row>
    <row r="67" spans="1:7" x14ac:dyDescent="0.25">
      <c r="A67" s="11" t="s">
        <v>300</v>
      </c>
      <c r="B67" s="14" t="s">
        <v>294</v>
      </c>
      <c r="C67" s="11" t="s">
        <v>217</v>
      </c>
      <c r="D67" s="11">
        <v>8</v>
      </c>
      <c r="E67" s="37">
        <v>14300</v>
      </c>
      <c r="F67" s="37">
        <f t="shared" si="4"/>
        <v>136021.6</v>
      </c>
    </row>
    <row r="68" spans="1:7" x14ac:dyDescent="0.25">
      <c r="A68" s="11" t="s">
        <v>301</v>
      </c>
      <c r="B68" s="64" t="s">
        <v>349</v>
      </c>
      <c r="C68" s="11" t="s">
        <v>217</v>
      </c>
      <c r="D68" s="11">
        <v>1</v>
      </c>
      <c r="E68" s="37">
        <v>1725000</v>
      </c>
      <c r="F68" s="37">
        <f t="shared" si="4"/>
        <v>2051025</v>
      </c>
    </row>
    <row r="69" spans="1:7" x14ac:dyDescent="0.25">
      <c r="A69" s="11" t="s">
        <v>302</v>
      </c>
      <c r="B69" s="64" t="s">
        <v>350</v>
      </c>
      <c r="C69" s="11" t="s">
        <v>217</v>
      </c>
      <c r="D69" s="11">
        <v>1</v>
      </c>
      <c r="E69" s="37">
        <v>989000</v>
      </c>
      <c r="F69" s="37">
        <f t="shared" si="4"/>
        <v>1175921</v>
      </c>
    </row>
    <row r="70" spans="1:7" x14ac:dyDescent="0.25">
      <c r="A70" s="11"/>
      <c r="B70" s="14"/>
      <c r="C70" s="11" t="s">
        <v>217</v>
      </c>
      <c r="D70" s="11">
        <v>1</v>
      </c>
      <c r="E70" s="37"/>
      <c r="F70" s="37"/>
    </row>
    <row r="71" spans="1:7" ht="18.75" x14ac:dyDescent="0.25">
      <c r="A71" s="60"/>
      <c r="B71" s="61"/>
      <c r="C71" s="60"/>
      <c r="D71" s="60"/>
      <c r="E71" s="49" t="s">
        <v>328</v>
      </c>
      <c r="F71" s="38">
        <f>SUM(F45:F69)</f>
        <v>57755627.439999998</v>
      </c>
    </row>
    <row r="72" spans="1:7" ht="15.75" x14ac:dyDescent="0.25">
      <c r="A72" s="24"/>
      <c r="B72" s="172" t="s">
        <v>298</v>
      </c>
      <c r="C72" s="173"/>
      <c r="D72" s="173"/>
      <c r="E72" s="173"/>
      <c r="F72" s="173"/>
    </row>
    <row r="73" spans="1:7" x14ac:dyDescent="0.25">
      <c r="A73" s="11" t="s">
        <v>301</v>
      </c>
      <c r="B73" s="59" t="s">
        <v>348</v>
      </c>
      <c r="C73" s="11" t="s">
        <v>217</v>
      </c>
      <c r="D73" s="11">
        <v>2</v>
      </c>
      <c r="E73" s="37">
        <v>9028000</v>
      </c>
      <c r="F73" s="37">
        <f>D73*E73*1.189</f>
        <v>21468584</v>
      </c>
    </row>
    <row r="74" spans="1:7" ht="18.75" x14ac:dyDescent="0.25">
      <c r="E74" s="49" t="s">
        <v>329</v>
      </c>
      <c r="F74" s="38">
        <f>SUM(F73)</f>
        <v>21468584</v>
      </c>
    </row>
    <row r="75" spans="1:7" x14ac:dyDescent="0.25">
      <c r="A75" s="21"/>
      <c r="B75" s="23" t="s">
        <v>299</v>
      </c>
      <c r="C75" s="21"/>
      <c r="D75" s="21"/>
      <c r="E75" s="44"/>
      <c r="F75" s="44"/>
    </row>
    <row r="76" spans="1:7" s="6" customFormat="1" ht="16.5" x14ac:dyDescent="0.3">
      <c r="A76" s="11" t="s">
        <v>303</v>
      </c>
      <c r="B76" s="54" t="s">
        <v>365</v>
      </c>
      <c r="C76" s="11" t="s">
        <v>217</v>
      </c>
      <c r="D76" s="26">
        <v>0</v>
      </c>
      <c r="E76" s="45">
        <v>0</v>
      </c>
      <c r="F76" s="37">
        <f t="shared" ref="F76:F79" si="5">D76*E76*1.189</f>
        <v>0</v>
      </c>
    </row>
    <row r="77" spans="1:7" s="6" customFormat="1" ht="16.5" x14ac:dyDescent="0.3">
      <c r="A77" s="11" t="s">
        <v>309</v>
      </c>
      <c r="B77" s="54" t="s">
        <v>366</v>
      </c>
      <c r="C77" s="11" t="s">
        <v>217</v>
      </c>
      <c r="D77" s="26">
        <v>4</v>
      </c>
      <c r="E77" s="45">
        <v>227200</v>
      </c>
      <c r="F77" s="37">
        <f t="shared" si="5"/>
        <v>1080563.2</v>
      </c>
    </row>
    <row r="78" spans="1:7" s="6" customFormat="1" ht="16.5" x14ac:dyDescent="0.3">
      <c r="A78" s="11"/>
      <c r="B78" s="54" t="s">
        <v>367</v>
      </c>
      <c r="C78" s="11"/>
      <c r="D78" s="26"/>
      <c r="E78" s="45"/>
      <c r="F78" s="37">
        <f t="shared" si="5"/>
        <v>0</v>
      </c>
    </row>
    <row r="79" spans="1:7" s="6" customFormat="1" ht="16.5" x14ac:dyDescent="0.3">
      <c r="A79" s="11"/>
      <c r="B79" s="54" t="s">
        <v>368</v>
      </c>
      <c r="C79" s="11" t="s">
        <v>217</v>
      </c>
      <c r="D79" s="26">
        <v>1</v>
      </c>
      <c r="E79" s="45">
        <v>59200</v>
      </c>
      <c r="F79" s="37">
        <f t="shared" si="5"/>
        <v>70388.800000000003</v>
      </c>
    </row>
    <row r="80" spans="1:7" s="6" customFormat="1" ht="16.5" x14ac:dyDescent="0.3">
      <c r="A80" s="28"/>
      <c r="B80" s="51"/>
      <c r="C80" s="28"/>
      <c r="D80" s="27"/>
      <c r="E80" s="65"/>
      <c r="F80" s="38"/>
    </row>
    <row r="81" spans="1:7" ht="18.75" x14ac:dyDescent="0.25">
      <c r="E81" s="49" t="s">
        <v>330</v>
      </c>
      <c r="F81" s="38">
        <f>SUM(F76:F79)</f>
        <v>1150952</v>
      </c>
    </row>
    <row r="82" spans="1:7" x14ac:dyDescent="0.25">
      <c r="A82" s="32"/>
      <c r="B82" s="32" t="s">
        <v>311</v>
      </c>
      <c r="C82" s="32"/>
      <c r="D82" s="32"/>
      <c r="E82" s="46"/>
      <c r="F82" s="46"/>
    </row>
    <row r="83" spans="1:7" x14ac:dyDescent="0.25">
      <c r="A83" s="11" t="s">
        <v>313</v>
      </c>
      <c r="B83" s="12" t="s">
        <v>312</v>
      </c>
      <c r="C83" s="11" t="s">
        <v>55</v>
      </c>
      <c r="D83" s="26">
        <v>1</v>
      </c>
      <c r="E83" s="47">
        <v>9028000</v>
      </c>
      <c r="F83" s="37">
        <f t="shared" ref="F83" si="6">D83*E83*1.189</f>
        <v>10734292</v>
      </c>
    </row>
    <row r="84" spans="1:7" ht="18.75" x14ac:dyDescent="0.25">
      <c r="E84" s="49" t="s">
        <v>326</v>
      </c>
      <c r="F84" s="38">
        <f>SUM(F83)</f>
        <v>10734292</v>
      </c>
    </row>
    <row r="85" spans="1:7" x14ac:dyDescent="0.25">
      <c r="A85" s="33"/>
      <c r="B85" s="33" t="s">
        <v>315</v>
      </c>
      <c r="C85" s="33"/>
      <c r="D85" s="33"/>
      <c r="E85" s="48"/>
      <c r="F85" s="48"/>
      <c r="G85" t="s">
        <v>324</v>
      </c>
    </row>
    <row r="86" spans="1:7" x14ac:dyDescent="0.25">
      <c r="A86" s="11" t="s">
        <v>314</v>
      </c>
      <c r="B86" s="12" t="s">
        <v>316</v>
      </c>
      <c r="C86" s="12" t="s">
        <v>217</v>
      </c>
      <c r="D86" s="12">
        <v>32</v>
      </c>
      <c r="E86" s="47"/>
      <c r="F86" s="47">
        <v>184000</v>
      </c>
    </row>
    <row r="87" spans="1:7" x14ac:dyDescent="0.25">
      <c r="A87" s="11" t="s">
        <v>320</v>
      </c>
      <c r="B87" s="12" t="s">
        <v>317</v>
      </c>
      <c r="C87" s="12" t="s">
        <v>217</v>
      </c>
      <c r="D87" s="12">
        <v>20</v>
      </c>
      <c r="E87" s="47"/>
      <c r="F87" s="47">
        <v>281750</v>
      </c>
    </row>
    <row r="88" spans="1:7" x14ac:dyDescent="0.25">
      <c r="A88" s="11" t="s">
        <v>321</v>
      </c>
      <c r="B88" s="12" t="s">
        <v>318</v>
      </c>
      <c r="C88" s="12" t="s">
        <v>217</v>
      </c>
      <c r="D88" s="12">
        <v>1</v>
      </c>
      <c r="E88" s="47"/>
      <c r="F88" s="47">
        <v>3450000</v>
      </c>
    </row>
    <row r="89" spans="1:7" ht="17.25" customHeight="1" x14ac:dyDescent="0.25">
      <c r="A89" s="11" t="s">
        <v>322</v>
      </c>
      <c r="B89" s="12" t="s">
        <v>319</v>
      </c>
      <c r="C89" s="12" t="s">
        <v>323</v>
      </c>
      <c r="D89" s="12">
        <v>1</v>
      </c>
      <c r="E89" s="47"/>
      <c r="F89" s="47">
        <v>4025000</v>
      </c>
    </row>
    <row r="90" spans="1:7" ht="18.75" x14ac:dyDescent="0.25">
      <c r="E90" s="49" t="s">
        <v>326</v>
      </c>
      <c r="F90" s="38">
        <f>SUM(F86:F89)</f>
        <v>7940750</v>
      </c>
    </row>
    <row r="92" spans="1:7" ht="26.25" x14ac:dyDescent="0.4">
      <c r="B92" s="118" t="s">
        <v>331</v>
      </c>
      <c r="C92" s="50"/>
      <c r="F92" s="38">
        <f>F90+F84+F81+F74+F71+F43+F25</f>
        <v>125802470.01799999</v>
      </c>
    </row>
    <row r="98" spans="2:2" x14ac:dyDescent="0.25">
      <c r="B98" t="s">
        <v>161</v>
      </c>
    </row>
    <row r="99" spans="2:2" x14ac:dyDescent="0.25">
      <c r="B99" t="s">
        <v>162</v>
      </c>
    </row>
    <row r="100" spans="2:2" x14ac:dyDescent="0.25">
      <c r="B100" t="s">
        <v>163</v>
      </c>
    </row>
    <row r="102" spans="2:2" x14ac:dyDescent="0.25">
      <c r="B102" t="s">
        <v>164</v>
      </c>
    </row>
  </sheetData>
  <mergeCells count="1">
    <mergeCell ref="B72:F72"/>
  </mergeCells>
  <phoneticPr fontId="7" type="noConversion"/>
  <pageMargins left="0.3" right="0.3" top="0.5" bottom="0.5" header="0.5" footer="0.5"/>
  <pageSetup paperSize="9" scale="53" fitToHeight="0" orientation="landscape" horizontalDpi="4294967292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6"/>
  <sheetViews>
    <sheetView workbookViewId="0">
      <selection activeCell="C33" sqref="C33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7.25" x14ac:dyDescent="0.3">
      <c r="A1" s="9" t="s">
        <v>280</v>
      </c>
    </row>
    <row r="2" spans="1:6" ht="17.25" x14ac:dyDescent="0.3">
      <c r="A2" s="9"/>
    </row>
    <row r="3" spans="1:6" ht="17.25" x14ac:dyDescent="0.3">
      <c r="A3" s="9"/>
    </row>
    <row r="4" spans="1:6" ht="17.25" x14ac:dyDescent="0.3">
      <c r="A4" s="9"/>
    </row>
    <row r="5" spans="1:6" ht="17.25" x14ac:dyDescent="0.3">
      <c r="A5" s="9"/>
    </row>
    <row r="6" spans="1:6" ht="17.25" x14ac:dyDescent="0.3">
      <c r="A6" s="9"/>
    </row>
    <row r="7" spans="1:6" ht="17.25" x14ac:dyDescent="0.3">
      <c r="A7" s="9"/>
    </row>
    <row r="9" spans="1:6" x14ac:dyDescent="0.25">
      <c r="A9" s="10" t="s">
        <v>47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22</v>
      </c>
    </row>
    <row r="10" spans="1:6" x14ac:dyDescent="0.25">
      <c r="A10" s="11">
        <v>2</v>
      </c>
      <c r="B10" s="12" t="s">
        <v>469</v>
      </c>
      <c r="C10" s="11" t="s">
        <v>217</v>
      </c>
      <c r="D10" s="11">
        <v>5</v>
      </c>
      <c r="E10" s="13">
        <v>569380</v>
      </c>
      <c r="F10" s="13">
        <f>E10*D10</f>
        <v>2846900</v>
      </c>
    </row>
    <row r="11" spans="1:6" x14ac:dyDescent="0.25">
      <c r="A11" s="11">
        <v>3</v>
      </c>
      <c r="B11" s="12" t="s">
        <v>470</v>
      </c>
      <c r="C11" s="11" t="s">
        <v>217</v>
      </c>
      <c r="D11" s="11">
        <v>7</v>
      </c>
      <c r="E11" s="13">
        <v>943530</v>
      </c>
      <c r="F11" s="13">
        <f t="shared" ref="F11:F15" si="0">E11*D11</f>
        <v>6604710</v>
      </c>
    </row>
    <row r="12" spans="1:6" x14ac:dyDescent="0.25">
      <c r="A12" s="11">
        <v>4</v>
      </c>
      <c r="B12" s="12" t="s">
        <v>471</v>
      </c>
      <c r="C12" s="11" t="s">
        <v>217</v>
      </c>
      <c r="D12" s="11">
        <v>6</v>
      </c>
      <c r="E12" s="13">
        <v>1186400</v>
      </c>
      <c r="F12" s="13">
        <f t="shared" si="0"/>
        <v>7118400</v>
      </c>
    </row>
    <row r="13" spans="1:6" x14ac:dyDescent="0.25">
      <c r="A13" s="11">
        <v>6</v>
      </c>
      <c r="B13" s="12" t="s">
        <v>472</v>
      </c>
      <c r="C13" s="11" t="s">
        <v>217</v>
      </c>
      <c r="D13" s="12">
        <v>1</v>
      </c>
      <c r="E13" s="12">
        <v>129500</v>
      </c>
      <c r="F13" s="13">
        <f t="shared" si="0"/>
        <v>129500</v>
      </c>
    </row>
    <row r="14" spans="1:6" x14ac:dyDescent="0.25">
      <c r="A14" s="11">
        <v>7</v>
      </c>
      <c r="B14" s="12" t="s">
        <v>473</v>
      </c>
      <c r="C14" s="11" t="s">
        <v>55</v>
      </c>
      <c r="D14" s="12">
        <v>1</v>
      </c>
      <c r="E14" s="12"/>
      <c r="F14" s="13">
        <f t="shared" si="0"/>
        <v>0</v>
      </c>
    </row>
    <row r="15" spans="1:6" x14ac:dyDescent="0.25">
      <c r="A15" s="11">
        <v>8</v>
      </c>
      <c r="B15" s="12" t="s">
        <v>474</v>
      </c>
      <c r="C15" s="11" t="s">
        <v>55</v>
      </c>
      <c r="D15" s="12">
        <v>1</v>
      </c>
      <c r="E15" s="12"/>
      <c r="F15" s="13">
        <f t="shared" si="0"/>
        <v>0</v>
      </c>
    </row>
    <row r="18" spans="2:6" ht="21" x14ac:dyDescent="0.35">
      <c r="B18" s="98" t="s">
        <v>218</v>
      </c>
      <c r="F18" s="98">
        <f>SUM(F10:F15)</f>
        <v>16699510</v>
      </c>
    </row>
    <row r="22" spans="2:6" x14ac:dyDescent="0.25">
      <c r="B22" t="s">
        <v>161</v>
      </c>
    </row>
    <row r="23" spans="2:6" x14ac:dyDescent="0.25">
      <c r="B23" t="s">
        <v>162</v>
      </c>
    </row>
    <row r="24" spans="2:6" x14ac:dyDescent="0.25">
      <c r="B24" t="s">
        <v>163</v>
      </c>
    </row>
    <row r="26" spans="2:6" x14ac:dyDescent="0.25">
      <c r="B26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5"/>
  <sheetViews>
    <sheetView workbookViewId="0">
      <selection activeCell="F25" sqref="F25"/>
    </sheetView>
  </sheetViews>
  <sheetFormatPr baseColWidth="10" defaultColWidth="9.140625" defaultRowHeight="15" x14ac:dyDescent="0.25"/>
  <cols>
    <col min="1" max="1" width="9.7109375" customWidth="1"/>
    <col min="2" max="2" width="49.42578125" customWidth="1"/>
    <col min="5" max="5" width="18" customWidth="1"/>
    <col min="6" max="6" width="26.28515625" customWidth="1"/>
  </cols>
  <sheetData>
    <row r="1" spans="1:6" x14ac:dyDescent="0.25">
      <c r="A1" s="174" t="s">
        <v>475</v>
      </c>
      <c r="B1" s="174"/>
      <c r="C1" s="174"/>
      <c r="D1" s="174"/>
      <c r="E1" s="174"/>
    </row>
    <row r="11" spans="1:6" x14ac:dyDescent="0.25">
      <c r="A11" s="10" t="s">
        <v>47</v>
      </c>
      <c r="B11" s="10" t="s">
        <v>48</v>
      </c>
      <c r="C11" s="10" t="s">
        <v>49</v>
      </c>
      <c r="D11" s="10" t="s">
        <v>50</v>
      </c>
      <c r="E11" s="10" t="s">
        <v>51</v>
      </c>
      <c r="F11" s="10" t="s">
        <v>22</v>
      </c>
    </row>
    <row r="12" spans="1:6" x14ac:dyDescent="0.25">
      <c r="A12" s="12">
        <v>1</v>
      </c>
      <c r="B12" s="12" t="s">
        <v>476</v>
      </c>
      <c r="C12" s="12" t="s">
        <v>217</v>
      </c>
      <c r="D12" s="12">
        <v>27</v>
      </c>
      <c r="E12" s="140">
        <v>1310</v>
      </c>
      <c r="F12" s="140">
        <f>D12*E12</f>
        <v>35370</v>
      </c>
    </row>
    <row r="13" spans="1:6" x14ac:dyDescent="0.25">
      <c r="A13" s="12">
        <v>2</v>
      </c>
      <c r="B13" s="12" t="s">
        <v>477</v>
      </c>
      <c r="C13" s="12" t="s">
        <v>170</v>
      </c>
      <c r="D13" s="12">
        <v>400</v>
      </c>
      <c r="E13" s="140">
        <v>4.63</v>
      </c>
      <c r="F13" s="140">
        <f>D13*E13</f>
        <v>1852</v>
      </c>
    </row>
    <row r="16" spans="1:6" ht="21" x14ac:dyDescent="0.35">
      <c r="B16" s="98" t="s">
        <v>478</v>
      </c>
      <c r="F16" s="141">
        <f>SUM(F12:F13)</f>
        <v>37222</v>
      </c>
    </row>
    <row r="21" spans="2:2" x14ac:dyDescent="0.25">
      <c r="B21" t="s">
        <v>161</v>
      </c>
    </row>
    <row r="22" spans="2:2" x14ac:dyDescent="0.25">
      <c r="B22" t="s">
        <v>162</v>
      </c>
    </row>
    <row r="23" spans="2:2" x14ac:dyDescent="0.25">
      <c r="B23" t="s">
        <v>163</v>
      </c>
    </row>
    <row r="25" spans="2:2" x14ac:dyDescent="0.25">
      <c r="B25" t="s">
        <v>164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82"/>
  <sheetViews>
    <sheetView topLeftCell="A20" workbookViewId="0">
      <selection activeCell="G25" sqref="G25"/>
    </sheetView>
  </sheetViews>
  <sheetFormatPr baseColWidth="10" defaultColWidth="9.140625" defaultRowHeight="15" x14ac:dyDescent="0.25"/>
  <cols>
    <col min="2" max="2" width="49.85546875" customWidth="1"/>
    <col min="4" max="4" width="13" customWidth="1"/>
    <col min="5" max="5" width="20.5703125" customWidth="1"/>
    <col min="6" max="6" width="21.42578125" customWidth="1"/>
    <col min="7" max="7" width="28" customWidth="1"/>
  </cols>
  <sheetData>
    <row r="1" spans="1:7" ht="15.75" x14ac:dyDescent="0.25">
      <c r="A1" s="176" t="s">
        <v>463</v>
      </c>
      <c r="B1" s="176"/>
      <c r="C1" s="176"/>
      <c r="D1" s="176"/>
      <c r="E1" s="176"/>
      <c r="F1" s="176"/>
    </row>
    <row r="2" spans="1:7" ht="15.75" x14ac:dyDescent="0.25">
      <c r="A2" s="131"/>
      <c r="B2" s="131"/>
      <c r="C2" s="131"/>
      <c r="D2" s="131"/>
      <c r="E2" s="131"/>
      <c r="F2" s="131"/>
    </row>
    <row r="3" spans="1:7" ht="15.75" x14ac:dyDescent="0.25">
      <c r="A3" s="131"/>
      <c r="B3" s="131"/>
      <c r="C3" s="131"/>
      <c r="D3" s="131"/>
      <c r="E3" s="131"/>
      <c r="F3" s="131"/>
    </row>
    <row r="4" spans="1:7" ht="15.75" x14ac:dyDescent="0.25">
      <c r="A4" s="131"/>
      <c r="B4" s="131"/>
      <c r="C4" s="131"/>
      <c r="D4" s="131"/>
      <c r="E4" s="131"/>
      <c r="F4" s="131"/>
    </row>
    <row r="5" spans="1:7" ht="15.75" x14ac:dyDescent="0.25">
      <c r="A5" s="131"/>
      <c r="B5" s="131"/>
      <c r="C5" s="131"/>
      <c r="D5" s="131"/>
      <c r="E5" s="131"/>
      <c r="F5" s="131"/>
    </row>
    <row r="6" spans="1:7" ht="15.75" x14ac:dyDescent="0.25">
      <c r="A6" s="131"/>
      <c r="B6" s="131"/>
      <c r="C6" s="131"/>
      <c r="D6" s="131"/>
      <c r="E6" s="131"/>
      <c r="F6" s="131"/>
    </row>
    <row r="7" spans="1:7" ht="15.75" x14ac:dyDescent="0.25">
      <c r="A7" s="131"/>
      <c r="B7" s="131"/>
      <c r="C7" s="131"/>
      <c r="D7" s="131"/>
      <c r="E7" s="131"/>
      <c r="F7" s="131"/>
    </row>
    <row r="10" spans="1:7" x14ac:dyDescent="0.25">
      <c r="A10" s="134" t="s">
        <v>390</v>
      </c>
      <c r="B10" s="177" t="s">
        <v>410</v>
      </c>
      <c r="C10" s="177"/>
      <c r="D10" s="177"/>
      <c r="E10" s="177"/>
      <c r="F10" s="177"/>
      <c r="G10" s="134"/>
    </row>
    <row r="12" spans="1:7" x14ac:dyDescent="0.25">
      <c r="A12" t="s">
        <v>47</v>
      </c>
      <c r="B12" s="27" t="s">
        <v>48</v>
      </c>
      <c r="C12" s="6" t="s">
        <v>49</v>
      </c>
      <c r="D12" s="6" t="s">
        <v>50</v>
      </c>
      <c r="E12" s="6" t="s">
        <v>51</v>
      </c>
      <c r="F12" s="6" t="s">
        <v>22</v>
      </c>
      <c r="G12" s="6" t="s">
        <v>307</v>
      </c>
    </row>
    <row r="13" spans="1:7" x14ac:dyDescent="0.25">
      <c r="A13">
        <v>1</v>
      </c>
      <c r="B13" t="s">
        <v>464</v>
      </c>
      <c r="C13" t="s">
        <v>72</v>
      </c>
      <c r="D13">
        <v>9</v>
      </c>
      <c r="F13">
        <f>D13*E13</f>
        <v>0</v>
      </c>
    </row>
    <row r="14" spans="1:7" x14ac:dyDescent="0.25">
      <c r="A14">
        <v>2</v>
      </c>
      <c r="B14" t="s">
        <v>414</v>
      </c>
      <c r="C14" t="s">
        <v>217</v>
      </c>
      <c r="D14">
        <v>1</v>
      </c>
      <c r="F14">
        <f t="shared" ref="F14:F30" si="0">D14*E14</f>
        <v>0</v>
      </c>
    </row>
    <row r="15" spans="1:7" x14ac:dyDescent="0.25">
      <c r="A15">
        <v>3</v>
      </c>
      <c r="B15" t="s">
        <v>415</v>
      </c>
      <c r="C15" t="s">
        <v>217</v>
      </c>
      <c r="D15">
        <v>8</v>
      </c>
      <c r="F15">
        <f t="shared" si="0"/>
        <v>0</v>
      </c>
    </row>
    <row r="16" spans="1:7" x14ac:dyDescent="0.25">
      <c r="A16">
        <v>4</v>
      </c>
      <c r="B16" t="s">
        <v>416</v>
      </c>
      <c r="C16" t="s">
        <v>217</v>
      </c>
      <c r="D16">
        <v>2</v>
      </c>
      <c r="F16">
        <f t="shared" si="0"/>
        <v>0</v>
      </c>
    </row>
    <row r="17" spans="1:6" x14ac:dyDescent="0.25">
      <c r="A17">
        <v>5</v>
      </c>
      <c r="B17" t="s">
        <v>417</v>
      </c>
      <c r="C17" t="s">
        <v>217</v>
      </c>
      <c r="D17">
        <v>2</v>
      </c>
      <c r="F17">
        <f t="shared" si="0"/>
        <v>0</v>
      </c>
    </row>
    <row r="18" spans="1:6" x14ac:dyDescent="0.25">
      <c r="A18">
        <v>6</v>
      </c>
      <c r="B18" t="s">
        <v>418</v>
      </c>
      <c r="C18" t="s">
        <v>217</v>
      </c>
      <c r="D18">
        <v>20</v>
      </c>
      <c r="F18">
        <f t="shared" si="0"/>
        <v>0</v>
      </c>
    </row>
    <row r="19" spans="1:6" x14ac:dyDescent="0.25">
      <c r="A19">
        <v>7</v>
      </c>
      <c r="B19" t="s">
        <v>419</v>
      </c>
      <c r="C19" t="s">
        <v>217</v>
      </c>
      <c r="D19">
        <v>10</v>
      </c>
      <c r="F19">
        <f t="shared" si="0"/>
        <v>0</v>
      </c>
    </row>
    <row r="20" spans="1:6" x14ac:dyDescent="0.25">
      <c r="A20">
        <v>8</v>
      </c>
      <c r="B20" t="s">
        <v>419</v>
      </c>
      <c r="C20" t="s">
        <v>217</v>
      </c>
      <c r="D20">
        <v>1</v>
      </c>
      <c r="F20">
        <f t="shared" si="0"/>
        <v>0</v>
      </c>
    </row>
    <row r="21" spans="1:6" x14ac:dyDescent="0.25">
      <c r="A21">
        <v>9</v>
      </c>
      <c r="B21" t="s">
        <v>420</v>
      </c>
      <c r="C21" t="s">
        <v>217</v>
      </c>
      <c r="D21">
        <v>10</v>
      </c>
      <c r="F21">
        <f t="shared" si="0"/>
        <v>0</v>
      </c>
    </row>
    <row r="22" spans="1:6" x14ac:dyDescent="0.25">
      <c r="A22">
        <v>10</v>
      </c>
      <c r="B22" t="s">
        <v>421</v>
      </c>
      <c r="C22" t="s">
        <v>217</v>
      </c>
      <c r="D22">
        <v>30</v>
      </c>
      <c r="F22">
        <f t="shared" si="0"/>
        <v>0</v>
      </c>
    </row>
    <row r="23" spans="1:6" x14ac:dyDescent="0.25">
      <c r="A23">
        <v>11</v>
      </c>
      <c r="B23" t="s">
        <v>422</v>
      </c>
      <c r="C23" t="s">
        <v>217</v>
      </c>
      <c r="D23">
        <v>2</v>
      </c>
      <c r="F23">
        <f t="shared" si="0"/>
        <v>0</v>
      </c>
    </row>
    <row r="24" spans="1:6" x14ac:dyDescent="0.25">
      <c r="A24">
        <v>12</v>
      </c>
      <c r="B24" t="s">
        <v>423</v>
      </c>
      <c r="C24" t="s">
        <v>217</v>
      </c>
      <c r="D24">
        <v>6</v>
      </c>
      <c r="F24">
        <f t="shared" si="0"/>
        <v>0</v>
      </c>
    </row>
    <row r="25" spans="1:6" x14ac:dyDescent="0.25">
      <c r="A25">
        <v>13</v>
      </c>
      <c r="B25" t="s">
        <v>424</v>
      </c>
      <c r="C25" t="s">
        <v>217</v>
      </c>
      <c r="D25">
        <v>1</v>
      </c>
      <c r="F25">
        <f t="shared" si="0"/>
        <v>0</v>
      </c>
    </row>
    <row r="26" spans="1:6" x14ac:dyDescent="0.25">
      <c r="A26">
        <v>14</v>
      </c>
      <c r="B26" t="s">
        <v>425</v>
      </c>
      <c r="C26" t="s">
        <v>217</v>
      </c>
      <c r="D26">
        <v>1</v>
      </c>
      <c r="F26">
        <f t="shared" si="0"/>
        <v>0</v>
      </c>
    </row>
    <row r="27" spans="1:6" x14ac:dyDescent="0.25">
      <c r="A27">
        <v>15</v>
      </c>
      <c r="B27" t="s">
        <v>426</v>
      </c>
      <c r="C27" t="s">
        <v>217</v>
      </c>
      <c r="D27">
        <v>1</v>
      </c>
      <c r="F27">
        <f t="shared" si="0"/>
        <v>0</v>
      </c>
    </row>
    <row r="28" spans="1:6" x14ac:dyDescent="0.25">
      <c r="A28">
        <v>16</v>
      </c>
      <c r="B28" t="s">
        <v>427</v>
      </c>
      <c r="C28" t="s">
        <v>217</v>
      </c>
      <c r="D28">
        <v>1</v>
      </c>
      <c r="F28">
        <f t="shared" si="0"/>
        <v>0</v>
      </c>
    </row>
    <row r="29" spans="1:6" x14ac:dyDescent="0.25">
      <c r="A29">
        <v>17</v>
      </c>
      <c r="B29" t="s">
        <v>428</v>
      </c>
      <c r="C29" t="s">
        <v>55</v>
      </c>
      <c r="D29">
        <v>1</v>
      </c>
      <c r="F29">
        <f t="shared" si="0"/>
        <v>0</v>
      </c>
    </row>
    <row r="30" spans="1:6" x14ac:dyDescent="0.25">
      <c r="A30">
        <v>18</v>
      </c>
      <c r="B30" t="s">
        <v>429</v>
      </c>
      <c r="C30" t="s">
        <v>55</v>
      </c>
      <c r="D30">
        <v>1</v>
      </c>
      <c r="F30">
        <f t="shared" si="0"/>
        <v>0</v>
      </c>
    </row>
    <row r="31" spans="1:6" x14ac:dyDescent="0.25">
      <c r="A31" s="175" t="s">
        <v>430</v>
      </c>
      <c r="B31" s="175"/>
      <c r="C31" s="175"/>
      <c r="D31" s="175"/>
      <c r="E31" s="175"/>
      <c r="F31">
        <f>SUM(F13:F30)</f>
        <v>0</v>
      </c>
    </row>
    <row r="33" spans="1:7" x14ac:dyDescent="0.25">
      <c r="A33" s="135" t="s">
        <v>431</v>
      </c>
      <c r="B33" s="135" t="s">
        <v>432</v>
      </c>
      <c r="C33" s="135"/>
      <c r="D33" s="135"/>
      <c r="E33" s="135"/>
      <c r="F33" s="135"/>
      <c r="G33" s="135"/>
    </row>
    <row r="35" spans="1:7" x14ac:dyDescent="0.25">
      <c r="A35" t="s">
        <v>47</v>
      </c>
      <c r="B35" s="27" t="s">
        <v>48</v>
      </c>
      <c r="C35" s="6" t="s">
        <v>49</v>
      </c>
      <c r="D35" s="6" t="s">
        <v>50</v>
      </c>
      <c r="E35" s="6" t="s">
        <v>51</v>
      </c>
      <c r="F35" s="6" t="s">
        <v>22</v>
      </c>
      <c r="G35" s="6" t="s">
        <v>307</v>
      </c>
    </row>
    <row r="36" spans="1:7" x14ac:dyDescent="0.25">
      <c r="A36">
        <v>1</v>
      </c>
      <c r="B36" t="s">
        <v>433</v>
      </c>
      <c r="C36" t="s">
        <v>217</v>
      </c>
      <c r="D36">
        <v>10</v>
      </c>
      <c r="F36">
        <f>D36*E36</f>
        <v>0</v>
      </c>
    </row>
    <row r="37" spans="1:7" x14ac:dyDescent="0.25">
      <c r="A37">
        <v>2</v>
      </c>
      <c r="B37" t="s">
        <v>434</v>
      </c>
      <c r="C37" t="s">
        <v>217</v>
      </c>
      <c r="D37">
        <v>5</v>
      </c>
      <c r="F37">
        <f t="shared" ref="F37:F39" si="1">D37*E37</f>
        <v>0</v>
      </c>
    </row>
    <row r="38" spans="1:7" x14ac:dyDescent="0.25">
      <c r="A38">
        <v>3</v>
      </c>
      <c r="B38" t="s">
        <v>435</v>
      </c>
      <c r="C38" t="s">
        <v>217</v>
      </c>
      <c r="D38">
        <v>16</v>
      </c>
      <c r="F38">
        <f t="shared" si="1"/>
        <v>0</v>
      </c>
    </row>
    <row r="39" spans="1:7" x14ac:dyDescent="0.25">
      <c r="A39">
        <v>4</v>
      </c>
      <c r="B39" t="s">
        <v>436</v>
      </c>
      <c r="C39" t="s">
        <v>217</v>
      </c>
      <c r="D39">
        <v>22</v>
      </c>
      <c r="F39">
        <f t="shared" si="1"/>
        <v>0</v>
      </c>
    </row>
    <row r="40" spans="1:7" x14ac:dyDescent="0.25">
      <c r="A40" s="175" t="s">
        <v>437</v>
      </c>
      <c r="B40" s="175"/>
      <c r="C40" s="175"/>
      <c r="D40" s="175"/>
      <c r="E40" s="175"/>
      <c r="F40">
        <f>SUM(F36:F39)</f>
        <v>0</v>
      </c>
    </row>
    <row r="41" spans="1:7" x14ac:dyDescent="0.25">
      <c r="A41" s="136" t="s">
        <v>438</v>
      </c>
      <c r="B41" s="136" t="s">
        <v>439</v>
      </c>
      <c r="C41" s="136"/>
      <c r="D41" s="136"/>
      <c r="E41" s="136"/>
      <c r="F41" s="136"/>
      <c r="G41" s="136"/>
    </row>
    <row r="43" spans="1:7" x14ac:dyDescent="0.25">
      <c r="A43" t="s">
        <v>47</v>
      </c>
      <c r="B43" s="27" t="s">
        <v>411</v>
      </c>
      <c r="C43" s="6" t="s">
        <v>49</v>
      </c>
      <c r="D43" s="6" t="s">
        <v>50</v>
      </c>
      <c r="E43" s="6" t="s">
        <v>51</v>
      </c>
      <c r="F43" s="6" t="s">
        <v>22</v>
      </c>
      <c r="G43" s="6" t="s">
        <v>307</v>
      </c>
    </row>
    <row r="44" spans="1:7" x14ac:dyDescent="0.25">
      <c r="A44">
        <v>1</v>
      </c>
      <c r="B44" t="s">
        <v>440</v>
      </c>
      <c r="C44" t="s">
        <v>217</v>
      </c>
      <c r="D44">
        <v>47</v>
      </c>
      <c r="F44">
        <f t="shared" ref="F44:F48" si="2">D44*E44</f>
        <v>0</v>
      </c>
    </row>
    <row r="45" spans="1:7" x14ac:dyDescent="0.25">
      <c r="A45">
        <v>2</v>
      </c>
      <c r="B45" t="s">
        <v>441</v>
      </c>
      <c r="C45" t="s">
        <v>217</v>
      </c>
      <c r="D45">
        <v>15</v>
      </c>
      <c r="F45">
        <f t="shared" si="2"/>
        <v>0</v>
      </c>
    </row>
    <row r="46" spans="1:7" x14ac:dyDescent="0.25">
      <c r="A46">
        <v>3</v>
      </c>
      <c r="B46" t="s">
        <v>442</v>
      </c>
      <c r="C46" t="s">
        <v>217</v>
      </c>
      <c r="D46">
        <v>20</v>
      </c>
      <c r="F46">
        <f t="shared" si="2"/>
        <v>0</v>
      </c>
    </row>
    <row r="47" spans="1:7" x14ac:dyDescent="0.25">
      <c r="A47">
        <v>4</v>
      </c>
      <c r="B47" t="s">
        <v>443</v>
      </c>
      <c r="C47" t="s">
        <v>217</v>
      </c>
      <c r="D47">
        <v>15</v>
      </c>
      <c r="F47">
        <f t="shared" si="2"/>
        <v>0</v>
      </c>
    </row>
    <row r="48" spans="1:7" x14ac:dyDescent="0.25">
      <c r="A48">
        <v>5</v>
      </c>
      <c r="B48" t="s">
        <v>444</v>
      </c>
      <c r="C48" t="s">
        <v>217</v>
      </c>
      <c r="D48">
        <v>20</v>
      </c>
      <c r="F48">
        <f t="shared" si="2"/>
        <v>0</v>
      </c>
    </row>
    <row r="49" spans="1:7" x14ac:dyDescent="0.25">
      <c r="A49" s="175" t="s">
        <v>445</v>
      </c>
      <c r="B49" s="175"/>
      <c r="C49" s="175"/>
      <c r="D49" s="175"/>
      <c r="E49" s="175"/>
      <c r="F49">
        <f>SUM(F44:F48)</f>
        <v>0</v>
      </c>
    </row>
    <row r="50" spans="1:7" x14ac:dyDescent="0.25">
      <c r="A50" s="137" t="s">
        <v>446</v>
      </c>
      <c r="B50" s="137" t="s">
        <v>447</v>
      </c>
      <c r="C50" s="137"/>
      <c r="D50" s="137"/>
      <c r="E50" s="137"/>
      <c r="F50" s="137"/>
      <c r="G50" s="137"/>
    </row>
    <row r="52" spans="1:7" x14ac:dyDescent="0.25">
      <c r="A52" t="s">
        <v>47</v>
      </c>
      <c r="B52" s="27" t="s">
        <v>48</v>
      </c>
      <c r="C52" s="6" t="s">
        <v>49</v>
      </c>
      <c r="D52" s="6" t="s">
        <v>50</v>
      </c>
      <c r="E52" s="6" t="s">
        <v>51</v>
      </c>
      <c r="F52" s="6" t="s">
        <v>22</v>
      </c>
      <c r="G52" s="6" t="s">
        <v>307</v>
      </c>
    </row>
    <row r="53" spans="1:7" x14ac:dyDescent="0.25">
      <c r="A53">
        <v>1</v>
      </c>
      <c r="B53" t="s">
        <v>448</v>
      </c>
      <c r="C53" t="s">
        <v>217</v>
      </c>
      <c r="D53">
        <v>8</v>
      </c>
      <c r="F53">
        <f t="shared" ref="F53" si="3">D53*E53</f>
        <v>0</v>
      </c>
    </row>
    <row r="54" spans="1:7" x14ac:dyDescent="0.25">
      <c r="A54" s="175" t="s">
        <v>449</v>
      </c>
      <c r="B54" s="175"/>
      <c r="C54" s="175"/>
      <c r="D54" s="175"/>
      <c r="E54" s="175"/>
      <c r="F54">
        <f>SUM(F53)</f>
        <v>0</v>
      </c>
    </row>
    <row r="56" spans="1:7" x14ac:dyDescent="0.25">
      <c r="A56" s="138"/>
      <c r="B56" s="138"/>
      <c r="C56" s="138"/>
      <c r="D56" s="138"/>
      <c r="E56" s="138"/>
      <c r="F56" s="138"/>
      <c r="G56" s="138"/>
    </row>
    <row r="57" spans="1:7" x14ac:dyDescent="0.25">
      <c r="A57" s="138" t="s">
        <v>450</v>
      </c>
      <c r="B57" s="138" t="s">
        <v>451</v>
      </c>
      <c r="C57" s="138"/>
      <c r="D57" s="138"/>
      <c r="E57" s="138"/>
      <c r="F57" s="138"/>
      <c r="G57" s="138"/>
    </row>
    <row r="59" spans="1:7" x14ac:dyDescent="0.25">
      <c r="A59" t="s">
        <v>47</v>
      </c>
      <c r="B59" s="27" t="s">
        <v>48</v>
      </c>
      <c r="C59" s="6" t="s">
        <v>49</v>
      </c>
      <c r="D59" s="6" t="s">
        <v>50</v>
      </c>
      <c r="E59" s="6" t="s">
        <v>51</v>
      </c>
      <c r="F59" s="6" t="s">
        <v>22</v>
      </c>
      <c r="G59" s="6" t="s">
        <v>307</v>
      </c>
    </row>
    <row r="60" spans="1:7" x14ac:dyDescent="0.25">
      <c r="A60">
        <v>1</v>
      </c>
      <c r="B60" t="s">
        <v>452</v>
      </c>
      <c r="C60" t="s">
        <v>55</v>
      </c>
      <c r="D60">
        <v>1</v>
      </c>
      <c r="F60">
        <f t="shared" ref="F60:F61" si="4">D60*E60</f>
        <v>0</v>
      </c>
    </row>
    <row r="61" spans="1:7" x14ac:dyDescent="0.25">
      <c r="A61">
        <v>2</v>
      </c>
      <c r="B61" t="s">
        <v>453</v>
      </c>
      <c r="C61" t="s">
        <v>55</v>
      </c>
      <c r="D61">
        <v>1</v>
      </c>
      <c r="F61">
        <f t="shared" si="4"/>
        <v>0</v>
      </c>
    </row>
    <row r="62" spans="1:7" x14ac:dyDescent="0.25">
      <c r="A62" s="175" t="s">
        <v>454</v>
      </c>
      <c r="B62" s="175"/>
      <c r="C62" s="175"/>
      <c r="D62" s="175"/>
      <c r="E62" s="175"/>
      <c r="F62">
        <f>SUM(F60:F61)</f>
        <v>0</v>
      </c>
    </row>
    <row r="63" spans="1:7" x14ac:dyDescent="0.25">
      <c r="A63" s="21" t="s">
        <v>455</v>
      </c>
      <c r="B63" s="21" t="s">
        <v>456</v>
      </c>
      <c r="C63" s="21"/>
      <c r="D63" s="21"/>
      <c r="E63" s="21"/>
      <c r="F63" s="21"/>
      <c r="G63" s="21"/>
    </row>
    <row r="65" spans="1:7" x14ac:dyDescent="0.25">
      <c r="A65" t="s">
        <v>47</v>
      </c>
      <c r="B65" s="27" t="s">
        <v>48</v>
      </c>
      <c r="C65" s="6" t="s">
        <v>49</v>
      </c>
      <c r="D65" s="6" t="s">
        <v>50</v>
      </c>
      <c r="E65" s="6" t="s">
        <v>51</v>
      </c>
      <c r="F65" s="6" t="s">
        <v>22</v>
      </c>
      <c r="G65" s="6" t="s">
        <v>307</v>
      </c>
    </row>
    <row r="66" spans="1:7" x14ac:dyDescent="0.25">
      <c r="A66">
        <v>1</v>
      </c>
      <c r="B66" t="s">
        <v>457</v>
      </c>
      <c r="C66" t="s">
        <v>217</v>
      </c>
      <c r="D66">
        <v>5</v>
      </c>
    </row>
    <row r="67" spans="1:7" x14ac:dyDescent="0.25">
      <c r="A67">
        <v>2</v>
      </c>
      <c r="B67" t="s">
        <v>458</v>
      </c>
      <c r="C67" t="s">
        <v>55</v>
      </c>
      <c r="D67">
        <v>1</v>
      </c>
    </row>
    <row r="68" spans="1:7" x14ac:dyDescent="0.25">
      <c r="A68" s="175" t="s">
        <v>459</v>
      </c>
      <c r="B68" s="175"/>
      <c r="C68" s="175"/>
      <c r="D68" s="175"/>
      <c r="E68" s="175"/>
      <c r="F68">
        <f>SUM(F66:F67)</f>
        <v>0</v>
      </c>
    </row>
    <row r="71" spans="1:7" ht="21" x14ac:dyDescent="0.35">
      <c r="B71" s="98" t="s">
        <v>467</v>
      </c>
      <c r="F71" s="118" t="s">
        <v>479</v>
      </c>
    </row>
    <row r="78" spans="1:7" x14ac:dyDescent="0.25">
      <c r="B78" t="s">
        <v>161</v>
      </c>
    </row>
    <row r="79" spans="1:7" x14ac:dyDescent="0.25">
      <c r="B79" t="s">
        <v>162</v>
      </c>
    </row>
    <row r="80" spans="1:7" x14ac:dyDescent="0.25">
      <c r="B80" t="s">
        <v>163</v>
      </c>
    </row>
    <row r="82" spans="2:2" x14ac:dyDescent="0.25">
      <c r="B82" t="s">
        <v>164</v>
      </c>
    </row>
  </sheetData>
  <mergeCells count="8">
    <mergeCell ref="A68:E68"/>
    <mergeCell ref="A62:E62"/>
    <mergeCell ref="A1:F1"/>
    <mergeCell ref="B10:F10"/>
    <mergeCell ref="A31:E31"/>
    <mergeCell ref="A40:E40"/>
    <mergeCell ref="A49:E49"/>
    <mergeCell ref="A54:E54"/>
  </mergeCells>
  <pageMargins left="0.3" right="0.3" top="0.5" bottom="0.5" header="0.5" footer="0.5"/>
  <pageSetup paperSize="9" scale="94" fitToHeight="0" orientation="landscape" horizontalDpi="4294967292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C9C7-A97E-4DD3-89E8-7A8E38E3938D}">
  <sheetPr>
    <pageSetUpPr fitToPage="1"/>
  </sheetPr>
  <dimension ref="A1:G25"/>
  <sheetViews>
    <sheetView workbookViewId="0">
      <selection activeCell="B21" sqref="B21:B25"/>
    </sheetView>
  </sheetViews>
  <sheetFormatPr baseColWidth="10" defaultRowHeight="15" x14ac:dyDescent="0.25"/>
  <cols>
    <col min="2" max="2" width="53.5703125" customWidth="1"/>
    <col min="5" max="5" width="15.85546875" style="82" customWidth="1"/>
    <col min="6" max="6" width="19" style="82" customWidth="1"/>
    <col min="7" max="7" width="27" customWidth="1"/>
  </cols>
  <sheetData>
    <row r="1" spans="1:7" x14ac:dyDescent="0.25">
      <c r="A1" s="174" t="s">
        <v>490</v>
      </c>
      <c r="B1" s="174"/>
      <c r="C1" s="174"/>
      <c r="D1" s="174"/>
      <c r="E1" s="174"/>
    </row>
    <row r="10" spans="1:7" x14ac:dyDescent="0.25">
      <c r="A10" s="134" t="s">
        <v>390</v>
      </c>
      <c r="B10" s="177" t="s">
        <v>491</v>
      </c>
      <c r="C10" s="177"/>
      <c r="D10" s="177"/>
      <c r="E10" s="177"/>
      <c r="F10" s="177"/>
      <c r="G10" s="134"/>
    </row>
    <row r="12" spans="1:7" x14ac:dyDescent="0.25">
      <c r="A12" t="s">
        <v>47</v>
      </c>
      <c r="B12" s="27" t="s">
        <v>48</v>
      </c>
      <c r="C12" s="6" t="s">
        <v>49</v>
      </c>
      <c r="D12" s="6" t="s">
        <v>50</v>
      </c>
      <c r="E12" s="144" t="s">
        <v>51</v>
      </c>
      <c r="F12" s="144" t="s">
        <v>22</v>
      </c>
      <c r="G12" s="6" t="s">
        <v>307</v>
      </c>
    </row>
    <row r="13" spans="1:7" x14ac:dyDescent="0.25">
      <c r="B13" t="s">
        <v>492</v>
      </c>
      <c r="C13" t="s">
        <v>55</v>
      </c>
      <c r="D13">
        <v>1</v>
      </c>
      <c r="E13" s="82">
        <v>11550000</v>
      </c>
      <c r="F13" s="82">
        <f>E13*D13</f>
        <v>11550000</v>
      </c>
    </row>
    <row r="14" spans="1:7" x14ac:dyDescent="0.25">
      <c r="B14" t="s">
        <v>493</v>
      </c>
      <c r="C14" t="s">
        <v>55</v>
      </c>
      <c r="D14">
        <v>1</v>
      </c>
      <c r="E14" s="82">
        <v>3170000</v>
      </c>
      <c r="F14" s="82">
        <f>E14*D14</f>
        <v>3170000</v>
      </c>
    </row>
    <row r="18" spans="2:6" ht="21" x14ac:dyDescent="0.35">
      <c r="B18" s="98" t="s">
        <v>494</v>
      </c>
      <c r="F18" s="82">
        <f>SUM(F13:F14)</f>
        <v>14720000</v>
      </c>
    </row>
    <row r="21" spans="2:6" x14ac:dyDescent="0.25">
      <c r="B21" t="s">
        <v>161</v>
      </c>
    </row>
    <row r="22" spans="2:6" x14ac:dyDescent="0.25">
      <c r="B22" t="s">
        <v>162</v>
      </c>
    </row>
    <row r="23" spans="2:6" x14ac:dyDescent="0.25">
      <c r="B23" t="s">
        <v>163</v>
      </c>
    </row>
    <row r="25" spans="2:6" x14ac:dyDescent="0.25">
      <c r="B25" t="s">
        <v>164</v>
      </c>
    </row>
  </sheetData>
  <mergeCells count="2">
    <mergeCell ref="A1:E1"/>
    <mergeCell ref="B10:F10"/>
  </mergeCells>
  <pageMargins left="0.3" right="0.3" top="0.5" bottom="0.5" header="0.3" footer="0.3"/>
  <pageSetup paperSize="9" scale="95" fitToHeight="0" orientation="landscape" horizontalDpi="4294967292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73"/>
  <sheetViews>
    <sheetView workbookViewId="0">
      <selection activeCell="B69" sqref="B69:B73"/>
    </sheetView>
  </sheetViews>
  <sheetFormatPr baseColWidth="10" defaultColWidth="9.140625" defaultRowHeight="15" x14ac:dyDescent="0.25"/>
  <cols>
    <col min="1" max="1" width="48.42578125" customWidth="1"/>
    <col min="2" max="2" width="49.85546875" customWidth="1"/>
  </cols>
  <sheetData>
    <row r="1" spans="1:8" ht="15" customHeight="1" x14ac:dyDescent="0.25">
      <c r="A1" s="178" t="s">
        <v>463</v>
      </c>
      <c r="B1" s="178"/>
      <c r="C1" s="178"/>
      <c r="D1" s="178"/>
      <c r="E1" s="178"/>
      <c r="F1" s="178"/>
    </row>
    <row r="2" spans="1:8" x14ac:dyDescent="0.25">
      <c r="A2" s="121" t="s">
        <v>390</v>
      </c>
      <c r="B2" s="122" t="s">
        <v>410</v>
      </c>
    </row>
    <row r="3" spans="1:8" ht="30" customHeight="1" x14ac:dyDescent="0.25">
      <c r="A3" s="123" t="s">
        <v>390</v>
      </c>
      <c r="B3" s="179" t="s">
        <v>410</v>
      </c>
      <c r="C3" s="179"/>
      <c r="D3" s="179"/>
      <c r="E3" s="179"/>
      <c r="F3" s="179"/>
      <c r="G3" t="s">
        <v>412</v>
      </c>
      <c r="H3" t="s">
        <v>413</v>
      </c>
    </row>
    <row r="4" spans="1:8" x14ac:dyDescent="0.25">
      <c r="A4" s="124">
        <v>1</v>
      </c>
      <c r="B4" s="125" t="s">
        <v>464</v>
      </c>
      <c r="C4" s="124" t="s">
        <v>72</v>
      </c>
      <c r="D4" s="124">
        <v>9</v>
      </c>
      <c r="E4" s="126"/>
      <c r="F4" s="126"/>
      <c r="G4">
        <f t="shared" ref="G4:H20" si="0">E4*1.18</f>
        <v>0</v>
      </c>
      <c r="H4">
        <f t="shared" si="0"/>
        <v>0</v>
      </c>
    </row>
    <row r="5" spans="1:8" x14ac:dyDescent="0.25">
      <c r="A5" s="124" t="s">
        <v>47</v>
      </c>
      <c r="B5" s="28" t="s">
        <v>411</v>
      </c>
      <c r="C5" s="124" t="s">
        <v>49</v>
      </c>
      <c r="D5" s="124" t="s">
        <v>50</v>
      </c>
      <c r="E5" s="126"/>
      <c r="F5" s="126"/>
      <c r="G5">
        <f t="shared" si="0"/>
        <v>0</v>
      </c>
      <c r="H5">
        <f t="shared" si="0"/>
        <v>0</v>
      </c>
    </row>
    <row r="6" spans="1:8" x14ac:dyDescent="0.25">
      <c r="A6" s="124">
        <v>3</v>
      </c>
      <c r="B6" s="120" t="s">
        <v>464</v>
      </c>
      <c r="C6" s="124" t="s">
        <v>72</v>
      </c>
      <c r="D6" s="124">
        <v>9</v>
      </c>
      <c r="E6" s="126"/>
      <c r="F6" s="126">
        <f>D6*E6</f>
        <v>0</v>
      </c>
      <c r="G6">
        <f t="shared" si="0"/>
        <v>0</v>
      </c>
      <c r="H6">
        <f t="shared" si="0"/>
        <v>0</v>
      </c>
    </row>
    <row r="7" spans="1:8" x14ac:dyDescent="0.25">
      <c r="A7" s="124">
        <v>4</v>
      </c>
      <c r="B7" s="120" t="s">
        <v>414</v>
      </c>
      <c r="C7" s="124" t="s">
        <v>217</v>
      </c>
      <c r="D7" s="124">
        <v>1</v>
      </c>
      <c r="E7" s="126"/>
      <c r="F7" s="126">
        <f t="shared" ref="F7:F23" si="1">D7*E7</f>
        <v>0</v>
      </c>
      <c r="G7">
        <f t="shared" si="0"/>
        <v>0</v>
      </c>
      <c r="H7">
        <f t="shared" si="0"/>
        <v>0</v>
      </c>
    </row>
    <row r="8" spans="1:8" x14ac:dyDescent="0.25">
      <c r="A8" s="124">
        <v>5</v>
      </c>
      <c r="B8" s="120" t="s">
        <v>415</v>
      </c>
      <c r="C8" s="124" t="s">
        <v>217</v>
      </c>
      <c r="D8" s="124">
        <v>8</v>
      </c>
      <c r="E8" s="126"/>
      <c r="F8" s="126">
        <f t="shared" si="1"/>
        <v>0</v>
      </c>
      <c r="G8">
        <f t="shared" si="0"/>
        <v>0</v>
      </c>
      <c r="H8">
        <f t="shared" si="0"/>
        <v>0</v>
      </c>
    </row>
    <row r="9" spans="1:8" x14ac:dyDescent="0.25">
      <c r="A9" s="124">
        <v>7</v>
      </c>
      <c r="B9" s="120" t="s">
        <v>416</v>
      </c>
      <c r="C9" s="124" t="s">
        <v>217</v>
      </c>
      <c r="D9" s="124">
        <v>2</v>
      </c>
      <c r="E9" s="126"/>
      <c r="F9" s="126">
        <f t="shared" si="1"/>
        <v>0</v>
      </c>
      <c r="G9">
        <f t="shared" si="0"/>
        <v>0</v>
      </c>
      <c r="H9">
        <f t="shared" si="0"/>
        <v>0</v>
      </c>
    </row>
    <row r="10" spans="1:8" x14ac:dyDescent="0.25">
      <c r="A10" s="124">
        <v>8</v>
      </c>
      <c r="B10" s="120" t="s">
        <v>417</v>
      </c>
      <c r="C10" s="124" t="s">
        <v>217</v>
      </c>
      <c r="D10" s="124">
        <v>2</v>
      </c>
      <c r="E10" s="126"/>
      <c r="F10" s="126">
        <f t="shared" si="1"/>
        <v>0</v>
      </c>
      <c r="G10">
        <f t="shared" si="0"/>
        <v>0</v>
      </c>
      <c r="H10">
        <f t="shared" si="0"/>
        <v>0</v>
      </c>
    </row>
    <row r="11" spans="1:8" x14ac:dyDescent="0.25">
      <c r="A11" s="124">
        <v>9</v>
      </c>
      <c r="B11" s="120" t="s">
        <v>418</v>
      </c>
      <c r="C11" s="124" t="s">
        <v>217</v>
      </c>
      <c r="D11" s="124">
        <v>20</v>
      </c>
      <c r="E11" s="126"/>
      <c r="F11" s="126">
        <f t="shared" si="1"/>
        <v>0</v>
      </c>
      <c r="G11">
        <f t="shared" si="0"/>
        <v>0</v>
      </c>
      <c r="H11">
        <f t="shared" si="0"/>
        <v>0</v>
      </c>
    </row>
    <row r="12" spans="1:8" x14ac:dyDescent="0.25">
      <c r="A12" s="124">
        <v>10</v>
      </c>
      <c r="B12" s="120" t="s">
        <v>419</v>
      </c>
      <c r="C12" s="124" t="s">
        <v>217</v>
      </c>
      <c r="D12" s="124">
        <v>10</v>
      </c>
      <c r="E12" s="126"/>
      <c r="F12" s="126">
        <f t="shared" si="1"/>
        <v>0</v>
      </c>
      <c r="G12">
        <f t="shared" si="0"/>
        <v>0</v>
      </c>
      <c r="H12">
        <f t="shared" si="0"/>
        <v>0</v>
      </c>
    </row>
    <row r="13" spans="1:8" x14ac:dyDescent="0.25">
      <c r="A13" s="124">
        <v>11</v>
      </c>
      <c r="B13" s="120" t="s">
        <v>419</v>
      </c>
      <c r="C13" s="124" t="s">
        <v>217</v>
      </c>
      <c r="D13" s="124">
        <v>1</v>
      </c>
      <c r="E13" s="126"/>
      <c r="F13" s="126">
        <f t="shared" si="1"/>
        <v>0</v>
      </c>
      <c r="G13">
        <f t="shared" si="0"/>
        <v>0</v>
      </c>
      <c r="H13">
        <f t="shared" si="0"/>
        <v>0</v>
      </c>
    </row>
    <row r="14" spans="1:8" x14ac:dyDescent="0.25">
      <c r="A14" s="124">
        <v>12</v>
      </c>
      <c r="B14" s="120" t="s">
        <v>420</v>
      </c>
      <c r="C14" s="124" t="s">
        <v>217</v>
      </c>
      <c r="D14" s="124">
        <v>10</v>
      </c>
      <c r="E14" s="126"/>
      <c r="F14" s="126">
        <f t="shared" si="1"/>
        <v>0</v>
      </c>
      <c r="G14">
        <f t="shared" si="0"/>
        <v>0</v>
      </c>
      <c r="H14">
        <f t="shared" si="0"/>
        <v>0</v>
      </c>
    </row>
    <row r="15" spans="1:8" x14ac:dyDescent="0.25">
      <c r="A15" s="124">
        <v>13</v>
      </c>
      <c r="B15" s="120" t="s">
        <v>421</v>
      </c>
      <c r="C15" s="124" t="s">
        <v>217</v>
      </c>
      <c r="D15" s="124">
        <v>30</v>
      </c>
      <c r="E15" s="126"/>
      <c r="F15" s="126">
        <f t="shared" si="1"/>
        <v>0</v>
      </c>
      <c r="G15">
        <f t="shared" si="0"/>
        <v>0</v>
      </c>
      <c r="H15">
        <f t="shared" si="0"/>
        <v>0</v>
      </c>
    </row>
    <row r="16" spans="1:8" x14ac:dyDescent="0.25">
      <c r="A16" s="124">
        <v>14</v>
      </c>
      <c r="B16" s="120" t="s">
        <v>422</v>
      </c>
      <c r="C16" s="124" t="s">
        <v>217</v>
      </c>
      <c r="D16" s="124">
        <v>2</v>
      </c>
      <c r="E16" s="126"/>
      <c r="F16" s="126">
        <f t="shared" si="1"/>
        <v>0</v>
      </c>
      <c r="G16">
        <f t="shared" si="0"/>
        <v>0</v>
      </c>
      <c r="H16">
        <f t="shared" si="0"/>
        <v>0</v>
      </c>
    </row>
    <row r="17" spans="1:8" x14ac:dyDescent="0.25">
      <c r="A17" s="124">
        <v>15</v>
      </c>
      <c r="B17" s="120" t="s">
        <v>423</v>
      </c>
      <c r="C17" s="124" t="s">
        <v>217</v>
      </c>
      <c r="D17" s="124">
        <v>6</v>
      </c>
      <c r="E17" s="126"/>
      <c r="F17" s="126">
        <f t="shared" si="1"/>
        <v>0</v>
      </c>
      <c r="G17">
        <f t="shared" si="0"/>
        <v>0</v>
      </c>
      <c r="H17">
        <f t="shared" si="0"/>
        <v>0</v>
      </c>
    </row>
    <row r="18" spans="1:8" x14ac:dyDescent="0.25">
      <c r="A18" s="124">
        <v>16</v>
      </c>
      <c r="B18" s="120" t="s">
        <v>424</v>
      </c>
      <c r="C18" s="124" t="s">
        <v>217</v>
      </c>
      <c r="D18" s="124">
        <v>1</v>
      </c>
      <c r="E18" s="126"/>
      <c r="F18" s="126">
        <f t="shared" si="1"/>
        <v>0</v>
      </c>
      <c r="G18">
        <f t="shared" si="0"/>
        <v>0</v>
      </c>
      <c r="H18">
        <f t="shared" si="0"/>
        <v>0</v>
      </c>
    </row>
    <row r="19" spans="1:8" x14ac:dyDescent="0.25">
      <c r="A19" s="124">
        <v>17</v>
      </c>
      <c r="B19" s="120" t="s">
        <v>425</v>
      </c>
      <c r="C19" s="124" t="s">
        <v>217</v>
      </c>
      <c r="D19" s="124">
        <v>1</v>
      </c>
      <c r="E19" s="126"/>
      <c r="F19" s="126">
        <f t="shared" si="1"/>
        <v>0</v>
      </c>
      <c r="G19">
        <f t="shared" si="0"/>
        <v>0</v>
      </c>
      <c r="H19">
        <f t="shared" si="0"/>
        <v>0</v>
      </c>
    </row>
    <row r="20" spans="1:8" x14ac:dyDescent="0.25">
      <c r="A20" s="124">
        <v>18</v>
      </c>
      <c r="B20" s="120" t="s">
        <v>426</v>
      </c>
      <c r="C20" s="124" t="s">
        <v>217</v>
      </c>
      <c r="D20" s="124">
        <v>1</v>
      </c>
      <c r="E20" s="126"/>
      <c r="F20" s="126">
        <f t="shared" si="1"/>
        <v>0</v>
      </c>
      <c r="G20">
        <f t="shared" si="0"/>
        <v>0</v>
      </c>
      <c r="H20">
        <f t="shared" si="0"/>
        <v>0</v>
      </c>
    </row>
    <row r="21" spans="1:8" x14ac:dyDescent="0.25">
      <c r="A21" s="127" t="s">
        <v>430</v>
      </c>
      <c r="B21" s="120" t="s">
        <v>427</v>
      </c>
      <c r="C21" s="124" t="s">
        <v>217</v>
      </c>
      <c r="D21">
        <v>1</v>
      </c>
      <c r="F21" s="126">
        <f t="shared" si="1"/>
        <v>0</v>
      </c>
    </row>
    <row r="22" spans="1:8" x14ac:dyDescent="0.25">
      <c r="B22" s="120" t="s">
        <v>428</v>
      </c>
      <c r="C22" t="s">
        <v>55</v>
      </c>
      <c r="D22">
        <v>1</v>
      </c>
      <c r="F22" s="126">
        <f t="shared" si="1"/>
        <v>0</v>
      </c>
    </row>
    <row r="23" spans="1:8" ht="15" customHeight="1" x14ac:dyDescent="0.25">
      <c r="A23" s="121" t="s">
        <v>431</v>
      </c>
      <c r="B23" s="122" t="s">
        <v>429</v>
      </c>
      <c r="C23" t="s">
        <v>55</v>
      </c>
      <c r="D23">
        <v>1</v>
      </c>
      <c r="F23" s="126">
        <f t="shared" si="1"/>
        <v>0</v>
      </c>
    </row>
    <row r="24" spans="1:8" x14ac:dyDescent="0.25">
      <c r="A24" s="179" t="s">
        <v>430</v>
      </c>
      <c r="B24" s="179"/>
      <c r="C24" s="179"/>
      <c r="D24" s="179"/>
      <c r="E24" s="179"/>
      <c r="F24" s="123"/>
      <c r="G24" t="s">
        <v>412</v>
      </c>
      <c r="H24" t="s">
        <v>413</v>
      </c>
    </row>
    <row r="25" spans="1:8" x14ac:dyDescent="0.25">
      <c r="A25" s="124">
        <v>1</v>
      </c>
      <c r="B25" s="125" t="s">
        <v>433</v>
      </c>
      <c r="C25" s="124" t="s">
        <v>217</v>
      </c>
      <c r="D25" s="124">
        <v>10</v>
      </c>
      <c r="E25" s="126"/>
      <c r="F25" s="126"/>
      <c r="G25">
        <f t="shared" ref="G25:H28" si="2">E25*1.18</f>
        <v>0</v>
      </c>
      <c r="H25">
        <f t="shared" si="2"/>
        <v>0</v>
      </c>
    </row>
    <row r="26" spans="1:8" x14ac:dyDescent="0.25">
      <c r="A26" s="124">
        <v>2</v>
      </c>
      <c r="B26" s="125" t="s">
        <v>434</v>
      </c>
      <c r="C26" s="124" t="s">
        <v>217</v>
      </c>
      <c r="D26" s="124">
        <v>5</v>
      </c>
      <c r="E26" s="126"/>
      <c r="F26" s="126"/>
      <c r="G26">
        <f t="shared" si="2"/>
        <v>0</v>
      </c>
      <c r="H26">
        <f t="shared" si="2"/>
        <v>0</v>
      </c>
    </row>
    <row r="27" spans="1:8" x14ac:dyDescent="0.25">
      <c r="A27" s="124">
        <v>3</v>
      </c>
      <c r="B27" s="125" t="s">
        <v>435</v>
      </c>
      <c r="C27" s="124" t="s">
        <v>217</v>
      </c>
      <c r="D27" s="124">
        <v>16</v>
      </c>
      <c r="E27" s="126"/>
      <c r="F27" s="126"/>
      <c r="G27">
        <f t="shared" si="2"/>
        <v>0</v>
      </c>
      <c r="H27">
        <f t="shared" si="2"/>
        <v>0</v>
      </c>
    </row>
    <row r="28" spans="1:8" x14ac:dyDescent="0.25">
      <c r="A28" s="124">
        <v>4</v>
      </c>
      <c r="B28" s="125" t="s">
        <v>436</v>
      </c>
      <c r="C28" s="124" t="s">
        <v>217</v>
      </c>
      <c r="D28" s="124">
        <v>22</v>
      </c>
      <c r="E28" s="126"/>
      <c r="F28" s="126"/>
      <c r="G28">
        <f t="shared" si="2"/>
        <v>0</v>
      </c>
      <c r="H28">
        <f t="shared" si="2"/>
        <v>0</v>
      </c>
    </row>
    <row r="29" spans="1:8" x14ac:dyDescent="0.25">
      <c r="A29" s="127" t="s">
        <v>437</v>
      </c>
      <c r="F29" s="128"/>
    </row>
    <row r="31" spans="1:8" ht="15" customHeight="1" x14ac:dyDescent="0.25">
      <c r="A31" s="121" t="s">
        <v>438</v>
      </c>
      <c r="B31" s="122" t="s">
        <v>439</v>
      </c>
    </row>
    <row r="32" spans="1:8" x14ac:dyDescent="0.25">
      <c r="A32" s="123" t="s">
        <v>47</v>
      </c>
      <c r="B32" s="123" t="s">
        <v>411</v>
      </c>
      <c r="C32" s="123" t="s">
        <v>49</v>
      </c>
      <c r="D32" s="123" t="s">
        <v>50</v>
      </c>
      <c r="E32" s="123"/>
      <c r="F32" s="123"/>
      <c r="G32" t="s">
        <v>412</v>
      </c>
      <c r="H32" t="s">
        <v>413</v>
      </c>
    </row>
    <row r="33" spans="1:8" x14ac:dyDescent="0.25">
      <c r="A33" s="124">
        <v>1</v>
      </c>
      <c r="B33" s="125" t="s">
        <v>440</v>
      </c>
      <c r="C33" s="124" t="s">
        <v>217</v>
      </c>
      <c r="D33" s="124">
        <v>47</v>
      </c>
      <c r="E33" s="126"/>
      <c r="F33" s="126"/>
      <c r="G33">
        <f t="shared" ref="G33:H36" si="3">E33*1.18</f>
        <v>0</v>
      </c>
      <c r="H33">
        <f t="shared" si="3"/>
        <v>0</v>
      </c>
    </row>
    <row r="34" spans="1:8" x14ac:dyDescent="0.25">
      <c r="A34" s="124">
        <v>2</v>
      </c>
      <c r="B34" s="125" t="s">
        <v>441</v>
      </c>
      <c r="C34" s="124" t="s">
        <v>217</v>
      </c>
      <c r="D34" s="124">
        <v>15</v>
      </c>
      <c r="E34" s="126"/>
      <c r="F34" s="126"/>
      <c r="G34">
        <f t="shared" si="3"/>
        <v>0</v>
      </c>
      <c r="H34">
        <f t="shared" si="3"/>
        <v>0</v>
      </c>
    </row>
    <row r="35" spans="1:8" x14ac:dyDescent="0.25">
      <c r="A35" s="124">
        <v>3</v>
      </c>
      <c r="B35" s="125" t="s">
        <v>442</v>
      </c>
      <c r="C35" s="124" t="s">
        <v>217</v>
      </c>
      <c r="D35" s="124">
        <v>20</v>
      </c>
      <c r="E35" s="126"/>
      <c r="F35" s="126"/>
      <c r="G35">
        <f t="shared" si="3"/>
        <v>0</v>
      </c>
      <c r="H35">
        <f t="shared" si="3"/>
        <v>0</v>
      </c>
    </row>
    <row r="36" spans="1:8" x14ac:dyDescent="0.25">
      <c r="A36" s="124">
        <v>1</v>
      </c>
      <c r="B36" s="120" t="s">
        <v>433</v>
      </c>
      <c r="C36" s="124" t="s">
        <v>217</v>
      </c>
      <c r="D36" s="124">
        <v>10</v>
      </c>
      <c r="E36" s="126"/>
      <c r="F36" s="126">
        <f t="shared" ref="F36:F39" si="4">D36*E36</f>
        <v>0</v>
      </c>
      <c r="G36">
        <f t="shared" si="3"/>
        <v>0</v>
      </c>
      <c r="H36">
        <f t="shared" si="3"/>
        <v>0</v>
      </c>
    </row>
    <row r="37" spans="1:8" x14ac:dyDescent="0.25">
      <c r="A37" s="124">
        <v>2</v>
      </c>
      <c r="B37" s="120" t="s">
        <v>434</v>
      </c>
      <c r="C37" s="124" t="s">
        <v>217</v>
      </c>
      <c r="D37">
        <v>5</v>
      </c>
      <c r="F37" s="126">
        <f t="shared" si="4"/>
        <v>0</v>
      </c>
    </row>
    <row r="38" spans="1:8" x14ac:dyDescent="0.25">
      <c r="A38">
        <v>3</v>
      </c>
      <c r="B38" s="120" t="s">
        <v>435</v>
      </c>
      <c r="C38" s="124" t="s">
        <v>217</v>
      </c>
      <c r="D38">
        <v>16</v>
      </c>
      <c r="F38" s="126">
        <f t="shared" si="4"/>
        <v>0</v>
      </c>
    </row>
    <row r="39" spans="1:8" ht="15" customHeight="1" x14ac:dyDescent="0.25">
      <c r="A39" s="124">
        <v>4</v>
      </c>
      <c r="B39" s="120" t="s">
        <v>436</v>
      </c>
      <c r="C39" s="124" t="s">
        <v>217</v>
      </c>
      <c r="D39">
        <v>22</v>
      </c>
      <c r="F39" s="126">
        <f t="shared" si="4"/>
        <v>0</v>
      </c>
    </row>
    <row r="40" spans="1:8" x14ac:dyDescent="0.25">
      <c r="A40" s="123" t="s">
        <v>47</v>
      </c>
      <c r="B40" s="123" t="s">
        <v>411</v>
      </c>
      <c r="C40" s="123" t="s">
        <v>49</v>
      </c>
      <c r="D40" s="123"/>
      <c r="E40" s="123"/>
      <c r="F40" s="123"/>
      <c r="G40" t="s">
        <v>412</v>
      </c>
      <c r="H40" t="s">
        <v>413</v>
      </c>
    </row>
    <row r="41" spans="1:8" x14ac:dyDescent="0.25">
      <c r="A41" s="124" t="s">
        <v>438</v>
      </c>
      <c r="B41" s="125" t="s">
        <v>439</v>
      </c>
      <c r="C41" s="124" t="s">
        <v>217</v>
      </c>
      <c r="D41" s="124">
        <v>8</v>
      </c>
      <c r="E41" s="126"/>
      <c r="F41" s="126"/>
      <c r="G41">
        <f>E41*1.18</f>
        <v>0</v>
      </c>
      <c r="H41">
        <f>F41*1.18</f>
        <v>0</v>
      </c>
    </row>
    <row r="42" spans="1:8" x14ac:dyDescent="0.25">
      <c r="A42" s="127" t="s">
        <v>449</v>
      </c>
      <c r="F42" s="128"/>
    </row>
    <row r="43" spans="1:8" x14ac:dyDescent="0.25">
      <c r="A43" s="124">
        <v>3</v>
      </c>
      <c r="B43" s="125" t="s">
        <v>442</v>
      </c>
      <c r="C43" s="124" t="s">
        <v>217</v>
      </c>
      <c r="D43" s="124">
        <v>20</v>
      </c>
      <c r="E43" s="126"/>
      <c r="F43" s="126"/>
      <c r="G43">
        <f t="shared" ref="G43" si="5">E43*1.18</f>
        <v>0</v>
      </c>
    </row>
    <row r="44" spans="1:8" x14ac:dyDescent="0.25">
      <c r="A44" s="121">
        <v>1</v>
      </c>
      <c r="B44" s="122" t="s">
        <v>440</v>
      </c>
      <c r="C44" s="124" t="s">
        <v>217</v>
      </c>
      <c r="D44">
        <v>47</v>
      </c>
      <c r="F44" s="126">
        <f t="shared" ref="F44:F48" si="6">D44*E44</f>
        <v>0</v>
      </c>
    </row>
    <row r="45" spans="1:8" x14ac:dyDescent="0.25">
      <c r="A45" s="121">
        <v>2</v>
      </c>
      <c r="B45" s="120" t="s">
        <v>441</v>
      </c>
      <c r="C45" s="124" t="s">
        <v>217</v>
      </c>
      <c r="D45" s="123">
        <v>15</v>
      </c>
      <c r="E45" s="123"/>
      <c r="F45" s="126">
        <f t="shared" si="6"/>
        <v>0</v>
      </c>
      <c r="G45" t="s">
        <v>412</v>
      </c>
      <c r="H45" t="s">
        <v>413</v>
      </c>
    </row>
    <row r="46" spans="1:8" x14ac:dyDescent="0.25">
      <c r="A46" s="121">
        <v>3</v>
      </c>
      <c r="B46" s="125" t="s">
        <v>442</v>
      </c>
      <c r="C46" s="124" t="s">
        <v>217</v>
      </c>
      <c r="D46" s="124">
        <v>20</v>
      </c>
      <c r="E46" s="126"/>
      <c r="F46" s="126">
        <f t="shared" si="6"/>
        <v>0</v>
      </c>
      <c r="G46">
        <f>E46*1.18</f>
        <v>0</v>
      </c>
      <c r="H46">
        <f>F46*1.18</f>
        <v>0</v>
      </c>
    </row>
    <row r="47" spans="1:8" x14ac:dyDescent="0.25">
      <c r="A47" s="121">
        <v>4</v>
      </c>
      <c r="B47" s="125" t="s">
        <v>443</v>
      </c>
      <c r="C47" s="124" t="s">
        <v>217</v>
      </c>
      <c r="D47" s="124">
        <v>15</v>
      </c>
      <c r="E47" s="126"/>
      <c r="F47" s="126">
        <f t="shared" si="6"/>
        <v>0</v>
      </c>
      <c r="G47">
        <f>E47*1.18</f>
        <v>0</v>
      </c>
      <c r="H47">
        <f>F47*1.18</f>
        <v>0</v>
      </c>
    </row>
    <row r="48" spans="1:8" x14ac:dyDescent="0.25">
      <c r="A48" s="121">
        <v>5</v>
      </c>
      <c r="B48" t="s">
        <v>444</v>
      </c>
      <c r="C48" s="124" t="s">
        <v>217</v>
      </c>
      <c r="D48">
        <v>20</v>
      </c>
      <c r="F48" s="126">
        <f t="shared" si="6"/>
        <v>0</v>
      </c>
    </row>
    <row r="50" spans="1:8" x14ac:dyDescent="0.25">
      <c r="A50" s="121" t="s">
        <v>446</v>
      </c>
      <c r="B50" s="122" t="s">
        <v>447</v>
      </c>
    </row>
    <row r="51" spans="1:8" x14ac:dyDescent="0.25">
      <c r="A51" s="123" t="s">
        <v>47</v>
      </c>
      <c r="B51" s="123" t="s">
        <v>411</v>
      </c>
      <c r="C51" s="123" t="s">
        <v>49</v>
      </c>
      <c r="D51" s="123" t="s">
        <v>50</v>
      </c>
      <c r="E51" s="123"/>
      <c r="F51" s="123"/>
      <c r="G51" t="s">
        <v>412</v>
      </c>
      <c r="H51" t="s">
        <v>413</v>
      </c>
    </row>
    <row r="52" spans="1:8" x14ac:dyDescent="0.25">
      <c r="A52" s="124">
        <v>3</v>
      </c>
      <c r="B52" s="125" t="s">
        <v>442</v>
      </c>
      <c r="C52" s="124" t="s">
        <v>217</v>
      </c>
      <c r="D52" s="124">
        <v>20</v>
      </c>
      <c r="E52" s="126"/>
      <c r="F52" s="126"/>
      <c r="G52">
        <f t="shared" ref="G52" si="7">E52*1.18</f>
        <v>0</v>
      </c>
      <c r="H52">
        <f>F52*1.18</f>
        <v>0</v>
      </c>
    </row>
    <row r="53" spans="1:8" ht="45" customHeight="1" x14ac:dyDescent="0.25">
      <c r="A53" s="124">
        <v>1</v>
      </c>
      <c r="B53" s="125" t="s">
        <v>448</v>
      </c>
      <c r="C53" s="124" t="s">
        <v>217</v>
      </c>
      <c r="D53" s="124">
        <v>8</v>
      </c>
      <c r="E53" s="126"/>
      <c r="F53" s="126">
        <f t="shared" ref="F53" si="8">D53*E53</f>
        <v>0</v>
      </c>
      <c r="G53">
        <f>E53*1.18</f>
        <v>0</v>
      </c>
      <c r="H53">
        <f>F53*1.18</f>
        <v>0</v>
      </c>
    </row>
    <row r="54" spans="1:8" x14ac:dyDescent="0.25">
      <c r="A54" s="127" t="s">
        <v>459</v>
      </c>
      <c r="F54" s="128"/>
    </row>
    <row r="55" spans="1:8" x14ac:dyDescent="0.25">
      <c r="A55" t="s">
        <v>450</v>
      </c>
      <c r="B55" t="s">
        <v>451</v>
      </c>
    </row>
    <row r="56" spans="1:8" ht="15" customHeight="1" x14ac:dyDescent="0.25">
      <c r="A56" s="121" t="s">
        <v>460</v>
      </c>
      <c r="B56" s="122" t="s">
        <v>461</v>
      </c>
    </row>
    <row r="57" spans="1:8" x14ac:dyDescent="0.25">
      <c r="A57" s="124">
        <v>3</v>
      </c>
      <c r="B57" s="125" t="s">
        <v>442</v>
      </c>
      <c r="C57" s="124" t="s">
        <v>217</v>
      </c>
      <c r="D57" s="124">
        <v>20</v>
      </c>
      <c r="E57" s="126"/>
      <c r="F57" s="126"/>
      <c r="G57">
        <f t="shared" ref="G57" si="9">E57*1.18</f>
        <v>0</v>
      </c>
      <c r="H57" t="s">
        <v>413</v>
      </c>
    </row>
    <row r="58" spans="1:8" ht="30" customHeight="1" x14ac:dyDescent="0.25">
      <c r="A58" s="124">
        <v>1</v>
      </c>
      <c r="B58" s="125" t="s">
        <v>452</v>
      </c>
      <c r="C58" s="124" t="s">
        <v>55</v>
      </c>
      <c r="D58" s="124">
        <v>1</v>
      </c>
      <c r="E58" s="126"/>
      <c r="F58" s="126">
        <f t="shared" ref="F58:F59" si="10">D58*E58</f>
        <v>0</v>
      </c>
      <c r="G58">
        <f t="shared" ref="G58:H60" si="11">E58*1.18</f>
        <v>0</v>
      </c>
      <c r="H58">
        <f t="shared" si="11"/>
        <v>0</v>
      </c>
    </row>
    <row r="59" spans="1:8" x14ac:dyDescent="0.25">
      <c r="A59" s="124">
        <v>2</v>
      </c>
      <c r="B59" s="125" t="s">
        <v>453</v>
      </c>
      <c r="C59" s="124" t="s">
        <v>55</v>
      </c>
      <c r="D59" s="124">
        <v>1</v>
      </c>
      <c r="E59" s="126"/>
      <c r="F59" s="126">
        <f t="shared" si="10"/>
        <v>0</v>
      </c>
      <c r="G59">
        <f t="shared" si="11"/>
        <v>0</v>
      </c>
      <c r="H59">
        <f t="shared" si="11"/>
        <v>0</v>
      </c>
    </row>
    <row r="60" spans="1:8" x14ac:dyDescent="0.25">
      <c r="A60" s="124">
        <v>3</v>
      </c>
      <c r="B60" s="125" t="s">
        <v>462</v>
      </c>
      <c r="C60" s="124" t="s">
        <v>170</v>
      </c>
      <c r="D60" s="124">
        <v>15</v>
      </c>
      <c r="E60" s="126"/>
      <c r="F60" s="126"/>
      <c r="G60">
        <f t="shared" si="11"/>
        <v>0</v>
      </c>
      <c r="H60">
        <f t="shared" si="11"/>
        <v>0</v>
      </c>
    </row>
    <row r="61" spans="1:8" x14ac:dyDescent="0.25">
      <c r="A61" s="129" t="s">
        <v>455</v>
      </c>
      <c r="B61" t="s">
        <v>456</v>
      </c>
      <c r="F61" s="130"/>
    </row>
    <row r="63" spans="1:8" x14ac:dyDescent="0.25">
      <c r="A63" s="124">
        <v>3</v>
      </c>
      <c r="B63" s="125" t="s">
        <v>442</v>
      </c>
      <c r="C63" s="124" t="s">
        <v>217</v>
      </c>
      <c r="D63" s="124">
        <v>20</v>
      </c>
      <c r="E63" s="126"/>
      <c r="F63" s="126"/>
      <c r="G63">
        <f t="shared" ref="G63" si="12">E63*1.18</f>
        <v>0</v>
      </c>
      <c r="H63" t="e">
        <f>SUM(#REF!)</f>
        <v>#REF!</v>
      </c>
    </row>
    <row r="64" spans="1:8" x14ac:dyDescent="0.25">
      <c r="A64">
        <v>1</v>
      </c>
      <c r="B64" t="s">
        <v>457</v>
      </c>
      <c r="C64" t="s">
        <v>217</v>
      </c>
      <c r="D64">
        <v>5</v>
      </c>
    </row>
    <row r="65" spans="1:4" x14ac:dyDescent="0.25">
      <c r="A65">
        <v>2</v>
      </c>
      <c r="B65" t="s">
        <v>458</v>
      </c>
      <c r="C65" t="s">
        <v>55</v>
      </c>
      <c r="D65">
        <v>1</v>
      </c>
    </row>
    <row r="69" spans="1:4" x14ac:dyDescent="0.25">
      <c r="B69" t="s">
        <v>161</v>
      </c>
    </row>
    <row r="70" spans="1:4" x14ac:dyDescent="0.25">
      <c r="B70" t="s">
        <v>162</v>
      </c>
    </row>
    <row r="71" spans="1:4" x14ac:dyDescent="0.25">
      <c r="B71" t="s">
        <v>163</v>
      </c>
    </row>
    <row r="73" spans="1:4" x14ac:dyDescent="0.25">
      <c r="B73" t="s">
        <v>164</v>
      </c>
    </row>
  </sheetData>
  <mergeCells count="3">
    <mergeCell ref="A1:F1"/>
    <mergeCell ref="B3:F3"/>
    <mergeCell ref="A24:E24"/>
  </mergeCells>
  <pageMargins left="0.3" right="0.3" top="0.5" bottom="0.5" header="0.5" footer="0.5"/>
  <pageSetup paperSize="9" scale="87" fitToHeight="0" orientation="landscape" horizontalDpi="4294967292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22"/>
  <sheetViews>
    <sheetView topLeftCell="A9" workbookViewId="0">
      <selection activeCell="B18" sqref="B18:B22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5" width="18" customWidth="1"/>
    <col min="6" max="6" width="18" style="82" customWidth="1"/>
  </cols>
  <sheetData>
    <row r="1" spans="1:6" ht="18.75" x14ac:dyDescent="0.3">
      <c r="A1" s="22" t="s">
        <v>480</v>
      </c>
    </row>
    <row r="2" spans="1:6" ht="18.75" x14ac:dyDescent="0.3">
      <c r="A2" s="22"/>
    </row>
    <row r="3" spans="1:6" ht="18.75" x14ac:dyDescent="0.3">
      <c r="A3" s="22"/>
    </row>
    <row r="4" spans="1:6" ht="18.75" x14ac:dyDescent="0.3">
      <c r="A4" s="22"/>
    </row>
    <row r="5" spans="1:6" ht="18.75" x14ac:dyDescent="0.3">
      <c r="A5" s="22"/>
    </row>
    <row r="6" spans="1:6" ht="18.75" x14ac:dyDescent="0.3">
      <c r="A6" s="22"/>
    </row>
    <row r="7" spans="1:6" ht="18.75" x14ac:dyDescent="0.3">
      <c r="A7" s="22"/>
    </row>
    <row r="8" spans="1:6" ht="18.75" x14ac:dyDescent="0.3">
      <c r="A8" s="22" t="s">
        <v>390</v>
      </c>
      <c r="B8" s="180" t="s">
        <v>481</v>
      </c>
      <c r="C8" s="180"/>
      <c r="D8" s="180"/>
      <c r="E8" s="180"/>
    </row>
    <row r="9" spans="1:6" x14ac:dyDescent="0.25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143" t="s">
        <v>22</v>
      </c>
    </row>
    <row r="10" spans="1:6" ht="33" customHeight="1" x14ac:dyDescent="0.25">
      <c r="A10">
        <v>1</v>
      </c>
      <c r="B10" s="119" t="s">
        <v>482</v>
      </c>
      <c r="C10" t="s">
        <v>55</v>
      </c>
      <c r="D10">
        <v>1</v>
      </c>
      <c r="E10" s="82">
        <v>2530000</v>
      </c>
      <c r="F10" s="142">
        <f>E10*D10</f>
        <v>2530000</v>
      </c>
    </row>
    <row r="14" spans="1:6" ht="21" x14ac:dyDescent="0.35">
      <c r="B14" s="98" t="s">
        <v>483</v>
      </c>
      <c r="F14" s="142">
        <v>25300000</v>
      </c>
    </row>
    <row r="18" spans="2:2" x14ac:dyDescent="0.25">
      <c r="B18" t="s">
        <v>161</v>
      </c>
    </row>
    <row r="19" spans="2:2" x14ac:dyDescent="0.25">
      <c r="B19" t="s">
        <v>162</v>
      </c>
    </row>
    <row r="20" spans="2:2" x14ac:dyDescent="0.25">
      <c r="B20" t="s">
        <v>163</v>
      </c>
    </row>
    <row r="22" spans="2:2" x14ac:dyDescent="0.25">
      <c r="B22" t="s">
        <v>164</v>
      </c>
    </row>
  </sheetData>
  <mergeCells count="1">
    <mergeCell ref="B8:E8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9"/>
  <sheetViews>
    <sheetView topLeftCell="A11" workbookViewId="0">
      <selection activeCell="B25" sqref="B25:B29"/>
    </sheetView>
  </sheetViews>
  <sheetFormatPr baseColWidth="10" defaultColWidth="9.140625" defaultRowHeight="15" x14ac:dyDescent="0.25"/>
  <cols>
    <col min="1" max="1" width="10" customWidth="1"/>
    <col min="2" max="2" width="87" customWidth="1"/>
    <col min="3" max="3" width="20" customWidth="1"/>
    <col min="4" max="4" width="12" style="82" customWidth="1"/>
    <col min="5" max="5" width="18" style="82" customWidth="1"/>
    <col min="6" max="6" width="21.7109375" style="82" customWidth="1"/>
  </cols>
  <sheetData>
    <row r="1" spans="1:6" x14ac:dyDescent="0.25">
      <c r="A1" t="s">
        <v>395</v>
      </c>
    </row>
    <row r="3" spans="1:6" x14ac:dyDescent="0.25">
      <c r="A3" t="s">
        <v>47</v>
      </c>
      <c r="B3" s="7"/>
    </row>
    <row r="4" spans="1:6" x14ac:dyDescent="0.25">
      <c r="A4" t="s">
        <v>175</v>
      </c>
      <c r="B4" s="7"/>
    </row>
    <row r="5" spans="1:6" x14ac:dyDescent="0.25">
      <c r="A5" t="s">
        <v>177</v>
      </c>
      <c r="B5" s="7"/>
    </row>
    <row r="6" spans="1:6" x14ac:dyDescent="0.25">
      <c r="A6" t="s">
        <v>178</v>
      </c>
      <c r="B6" s="7"/>
    </row>
    <row r="7" spans="1:6" x14ac:dyDescent="0.25">
      <c r="A7" t="s">
        <v>179</v>
      </c>
      <c r="B7" s="7"/>
    </row>
    <row r="8" spans="1:6" x14ac:dyDescent="0.25">
      <c r="A8" t="s">
        <v>180</v>
      </c>
      <c r="B8" s="7"/>
    </row>
    <row r="9" spans="1:6" x14ac:dyDescent="0.25">
      <c r="A9" t="s">
        <v>181</v>
      </c>
      <c r="B9" s="7"/>
    </row>
    <row r="10" spans="1:6" x14ac:dyDescent="0.25">
      <c r="B10" s="8"/>
    </row>
    <row r="11" spans="1:6" x14ac:dyDescent="0.25">
      <c r="B11" s="8"/>
    </row>
    <row r="12" spans="1:6" x14ac:dyDescent="0.25">
      <c r="B12" s="8"/>
    </row>
    <row r="13" spans="1:6" x14ac:dyDescent="0.25">
      <c r="B13" s="8"/>
    </row>
    <row r="14" spans="1:6" x14ac:dyDescent="0.25">
      <c r="A14" s="69" t="s">
        <v>182</v>
      </c>
      <c r="B14" s="69" t="s">
        <v>183</v>
      </c>
      <c r="C14" s="69" t="s">
        <v>49</v>
      </c>
      <c r="D14" s="87" t="s">
        <v>50</v>
      </c>
      <c r="E14" s="87" t="s">
        <v>51</v>
      </c>
      <c r="F14" s="87" t="s">
        <v>22</v>
      </c>
    </row>
    <row r="15" spans="1:6" x14ac:dyDescent="0.25">
      <c r="A15" s="12" t="s">
        <v>184</v>
      </c>
      <c r="B15" s="12" t="s">
        <v>214</v>
      </c>
      <c r="C15" s="12" t="s">
        <v>225</v>
      </c>
      <c r="D15" s="83">
        <v>2000</v>
      </c>
      <c r="E15" s="83">
        <v>65000</v>
      </c>
      <c r="F15" s="83">
        <f>D15*E15</f>
        <v>130000000</v>
      </c>
    </row>
    <row r="16" spans="1:6" x14ac:dyDescent="0.25">
      <c r="A16" s="12" t="s">
        <v>186</v>
      </c>
      <c r="B16" s="12" t="s">
        <v>214</v>
      </c>
      <c r="C16" s="12" t="s">
        <v>225</v>
      </c>
      <c r="D16" s="83">
        <v>104</v>
      </c>
      <c r="E16" s="83">
        <v>65000</v>
      </c>
      <c r="F16" s="83">
        <f>D16*E16</f>
        <v>6760000</v>
      </c>
    </row>
    <row r="17" spans="1:6" x14ac:dyDescent="0.25">
      <c r="A17" s="12" t="s">
        <v>187</v>
      </c>
      <c r="B17" s="12" t="s">
        <v>215</v>
      </c>
      <c r="C17" s="12"/>
      <c r="D17" s="83"/>
      <c r="E17" s="83"/>
      <c r="F17" s="83"/>
    </row>
    <row r="18" spans="1:6" x14ac:dyDescent="0.25">
      <c r="A18" s="12" t="s">
        <v>189</v>
      </c>
      <c r="B18" s="12" t="s">
        <v>211</v>
      </c>
      <c r="C18" s="12"/>
      <c r="D18" s="83"/>
      <c r="E18" s="83"/>
      <c r="F18" s="83"/>
    </row>
    <row r="19" spans="1:6" x14ac:dyDescent="0.25">
      <c r="A19" s="12" t="s">
        <v>190</v>
      </c>
      <c r="B19" s="12" t="s">
        <v>213</v>
      </c>
      <c r="C19" s="12"/>
      <c r="D19" s="83"/>
      <c r="E19" s="83"/>
      <c r="F19" s="83"/>
    </row>
    <row r="21" spans="1:6" ht="21" x14ac:dyDescent="0.35">
      <c r="B21" s="118" t="s">
        <v>396</v>
      </c>
      <c r="C21" s="98"/>
      <c r="F21" s="164">
        <v>50000000</v>
      </c>
    </row>
    <row r="25" spans="1:6" x14ac:dyDescent="0.25">
      <c r="B25" t="s">
        <v>161</v>
      </c>
    </row>
    <row r="26" spans="1:6" x14ac:dyDescent="0.25">
      <c r="B26" t="s">
        <v>162</v>
      </c>
    </row>
    <row r="27" spans="1:6" x14ac:dyDescent="0.25">
      <c r="B27" t="s">
        <v>163</v>
      </c>
    </row>
    <row r="29" spans="1:6" x14ac:dyDescent="0.25">
      <c r="B29" t="s">
        <v>164</v>
      </c>
    </row>
  </sheetData>
  <pageMargins left="0.3" right="0.3" top="0.5" bottom="0.5" header="0.5" footer="0.5"/>
  <pageSetup paperSize="9" scale="84" fitToHeight="0" orientation="landscape" horizontalDpi="4294967292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26"/>
  <sheetViews>
    <sheetView topLeftCell="A18" workbookViewId="0">
      <selection activeCell="B22" sqref="B22:B26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82" customWidth="1"/>
  </cols>
  <sheetData>
    <row r="1" spans="1:6" ht="18.75" x14ac:dyDescent="0.3">
      <c r="A1" s="22" t="s">
        <v>495</v>
      </c>
    </row>
    <row r="2" spans="1:6" ht="18.75" x14ac:dyDescent="0.3">
      <c r="A2" s="22"/>
    </row>
    <row r="3" spans="1:6" ht="18.75" x14ac:dyDescent="0.3">
      <c r="A3" s="22"/>
    </row>
    <row r="4" spans="1:6" ht="18.75" x14ac:dyDescent="0.3">
      <c r="A4" s="22"/>
    </row>
    <row r="5" spans="1:6" ht="18.75" x14ac:dyDescent="0.3">
      <c r="A5" s="22"/>
    </row>
    <row r="6" spans="1:6" ht="18.75" x14ac:dyDescent="0.3">
      <c r="A6" s="22"/>
    </row>
    <row r="7" spans="1:6" ht="18.75" x14ac:dyDescent="0.3">
      <c r="A7" s="22"/>
    </row>
    <row r="8" spans="1:6" ht="18.75" x14ac:dyDescent="0.3">
      <c r="A8" s="22"/>
    </row>
    <row r="9" spans="1:6" ht="18.75" x14ac:dyDescent="0.3">
      <c r="A9" s="22"/>
    </row>
    <row r="10" spans="1:6" x14ac:dyDescent="0.25">
      <c r="A10" s="4" t="s">
        <v>47</v>
      </c>
      <c r="B10" s="4" t="s">
        <v>48</v>
      </c>
      <c r="C10" s="4" t="s">
        <v>49</v>
      </c>
      <c r="D10" s="4" t="s">
        <v>50</v>
      </c>
      <c r="E10" s="143" t="s">
        <v>51</v>
      </c>
      <c r="F10" s="143" t="s">
        <v>22</v>
      </c>
    </row>
    <row r="11" spans="1:6" x14ac:dyDescent="0.25">
      <c r="B11" s="2" t="s">
        <v>222</v>
      </c>
      <c r="F11" s="142"/>
    </row>
    <row r="12" spans="1:6" x14ac:dyDescent="0.25">
      <c r="B12" t="s">
        <v>496</v>
      </c>
      <c r="C12" t="s">
        <v>55</v>
      </c>
      <c r="D12">
        <v>1</v>
      </c>
      <c r="E12" s="82">
        <v>8850000</v>
      </c>
      <c r="F12" s="82">
        <f>E12*D12</f>
        <v>8850000</v>
      </c>
    </row>
    <row r="13" spans="1:6" x14ac:dyDescent="0.25">
      <c r="B13" t="s">
        <v>497</v>
      </c>
      <c r="C13" t="s">
        <v>55</v>
      </c>
      <c r="D13">
        <v>1</v>
      </c>
      <c r="E13" s="82">
        <v>12250000</v>
      </c>
      <c r="F13" s="82">
        <v>0</v>
      </c>
    </row>
    <row r="18" spans="2:6" ht="21" x14ac:dyDescent="0.35">
      <c r="B18" s="98" t="s">
        <v>467</v>
      </c>
      <c r="F18" s="82">
        <f>SUM(F12:F13)</f>
        <v>8850000</v>
      </c>
    </row>
    <row r="22" spans="2:6" x14ac:dyDescent="0.25">
      <c r="B22" t="s">
        <v>161</v>
      </c>
    </row>
    <row r="23" spans="2:6" x14ac:dyDescent="0.25">
      <c r="B23" t="s">
        <v>162</v>
      </c>
    </row>
    <row r="24" spans="2:6" x14ac:dyDescent="0.25">
      <c r="B24" t="s">
        <v>163</v>
      </c>
    </row>
    <row r="26" spans="2:6" x14ac:dyDescent="0.25">
      <c r="B26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26"/>
  <sheetViews>
    <sheetView workbookViewId="0">
      <selection activeCell="B22" sqref="B22:B26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82" customWidth="1"/>
  </cols>
  <sheetData>
    <row r="1" spans="1:6" ht="18.75" x14ac:dyDescent="0.3">
      <c r="A1" s="1" t="s">
        <v>484</v>
      </c>
    </row>
    <row r="2" spans="1:6" ht="18.75" x14ac:dyDescent="0.3">
      <c r="A2" s="1"/>
    </row>
    <row r="3" spans="1:6" ht="18.75" x14ac:dyDescent="0.3">
      <c r="A3" s="1"/>
    </row>
    <row r="4" spans="1:6" ht="18.75" x14ac:dyDescent="0.3">
      <c r="A4" s="1"/>
    </row>
    <row r="5" spans="1:6" ht="18.75" x14ac:dyDescent="0.3">
      <c r="A5" s="1"/>
    </row>
    <row r="6" spans="1:6" ht="18.75" x14ac:dyDescent="0.3">
      <c r="A6" s="1"/>
    </row>
    <row r="7" spans="1:6" ht="18.75" x14ac:dyDescent="0.3">
      <c r="A7" s="1"/>
    </row>
    <row r="8" spans="1:6" ht="18.75" x14ac:dyDescent="0.3">
      <c r="A8" s="1"/>
    </row>
    <row r="9" spans="1:6" ht="18.75" x14ac:dyDescent="0.3">
      <c r="A9" s="1"/>
    </row>
    <row r="10" spans="1:6" x14ac:dyDescent="0.25">
      <c r="A10" s="4" t="s">
        <v>47</v>
      </c>
      <c r="B10" s="4" t="s">
        <v>48</v>
      </c>
      <c r="C10" s="4" t="s">
        <v>49</v>
      </c>
      <c r="D10" s="4" t="s">
        <v>50</v>
      </c>
      <c r="E10" s="143" t="s">
        <v>51</v>
      </c>
      <c r="F10" s="143" t="s">
        <v>22</v>
      </c>
    </row>
    <row r="11" spans="1:6" x14ac:dyDescent="0.25">
      <c r="B11" s="2"/>
      <c r="F11" s="142"/>
    </row>
    <row r="12" spans="1:6" x14ac:dyDescent="0.25">
      <c r="A12">
        <v>1</v>
      </c>
      <c r="B12" t="s">
        <v>485</v>
      </c>
      <c r="C12" t="s">
        <v>217</v>
      </c>
      <c r="D12">
        <v>4</v>
      </c>
      <c r="E12" s="82">
        <v>272320</v>
      </c>
      <c r="F12" s="82">
        <f>E12*D12</f>
        <v>1089280</v>
      </c>
    </row>
    <row r="13" spans="1:6" x14ac:dyDescent="0.25">
      <c r="A13">
        <v>2</v>
      </c>
      <c r="B13" t="s">
        <v>486</v>
      </c>
      <c r="C13" t="s">
        <v>217</v>
      </c>
      <c r="D13">
        <v>5</v>
      </c>
      <c r="E13" s="82">
        <v>224250</v>
      </c>
      <c r="F13" s="82">
        <f t="shared" ref="F13:F16" si="0">E13*D13</f>
        <v>1121250</v>
      </c>
    </row>
    <row r="14" spans="1:6" x14ac:dyDescent="0.25">
      <c r="A14">
        <v>3</v>
      </c>
      <c r="B14" t="s">
        <v>487</v>
      </c>
      <c r="C14" t="s">
        <v>217</v>
      </c>
      <c r="D14">
        <v>1</v>
      </c>
      <c r="E14" s="82">
        <v>1092500</v>
      </c>
      <c r="F14" s="82">
        <f t="shared" si="0"/>
        <v>1092500</v>
      </c>
    </row>
    <row r="15" spans="1:6" x14ac:dyDescent="0.25">
      <c r="A15">
        <v>4</v>
      </c>
      <c r="B15" t="s">
        <v>488</v>
      </c>
      <c r="C15" t="s">
        <v>217</v>
      </c>
      <c r="D15">
        <v>1</v>
      </c>
      <c r="E15" s="82">
        <v>184000</v>
      </c>
      <c r="F15" s="82">
        <f t="shared" si="0"/>
        <v>184000</v>
      </c>
    </row>
    <row r="16" spans="1:6" x14ac:dyDescent="0.25">
      <c r="A16">
        <v>5</v>
      </c>
      <c r="B16" t="s">
        <v>489</v>
      </c>
      <c r="C16" t="s">
        <v>55</v>
      </c>
      <c r="D16">
        <v>1</v>
      </c>
      <c r="E16" s="82">
        <v>575000</v>
      </c>
      <c r="F16" s="82">
        <f t="shared" si="0"/>
        <v>575000</v>
      </c>
    </row>
    <row r="19" spans="2:6" ht="21" x14ac:dyDescent="0.35">
      <c r="B19" s="98" t="s">
        <v>223</v>
      </c>
      <c r="F19" s="82">
        <f>SUM(F12:F16)</f>
        <v>4062030</v>
      </c>
    </row>
    <row r="22" spans="2:6" x14ac:dyDescent="0.25">
      <c r="B22" t="s">
        <v>161</v>
      </c>
    </row>
    <row r="23" spans="2:6" x14ac:dyDescent="0.25">
      <c r="B23" t="s">
        <v>162</v>
      </c>
    </row>
    <row r="24" spans="2:6" x14ac:dyDescent="0.25">
      <c r="B24" t="s">
        <v>163</v>
      </c>
    </row>
    <row r="26" spans="2:6" x14ac:dyDescent="0.25">
      <c r="B26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25"/>
  <sheetViews>
    <sheetView workbookViewId="0">
      <selection activeCell="B21" sqref="B21:B25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x14ac:dyDescent="0.3">
      <c r="A1" s="22" t="s">
        <v>505</v>
      </c>
    </row>
    <row r="2" spans="1:6" ht="18.75" x14ac:dyDescent="0.3">
      <c r="A2" s="22"/>
    </row>
    <row r="3" spans="1:6" ht="18.75" x14ac:dyDescent="0.3">
      <c r="A3" s="22"/>
    </row>
    <row r="4" spans="1:6" ht="18.75" x14ac:dyDescent="0.3">
      <c r="A4" s="22"/>
    </row>
    <row r="5" spans="1:6" ht="18.75" x14ac:dyDescent="0.3">
      <c r="A5" s="22"/>
    </row>
    <row r="6" spans="1:6" ht="18.75" x14ac:dyDescent="0.3">
      <c r="A6" s="22"/>
    </row>
    <row r="7" spans="1:6" ht="18.75" x14ac:dyDescent="0.3">
      <c r="A7" s="22"/>
    </row>
    <row r="8" spans="1:6" ht="18.75" x14ac:dyDescent="0.3">
      <c r="A8" s="22"/>
    </row>
    <row r="9" spans="1:6" x14ac:dyDescent="0.25">
      <c r="A9" s="149" t="s">
        <v>47</v>
      </c>
      <c r="B9" s="149" t="s">
        <v>48</v>
      </c>
      <c r="C9" s="149" t="s">
        <v>49</v>
      </c>
      <c r="D9" s="149" t="s">
        <v>50</v>
      </c>
      <c r="E9" s="149" t="s">
        <v>51</v>
      </c>
      <c r="F9" s="149" t="s">
        <v>22</v>
      </c>
    </row>
    <row r="10" spans="1:6" x14ac:dyDescent="0.25">
      <c r="A10" s="11" t="s">
        <v>374</v>
      </c>
      <c r="B10" s="12" t="s">
        <v>316</v>
      </c>
      <c r="C10" s="12" t="s">
        <v>217</v>
      </c>
      <c r="D10" s="12">
        <v>32</v>
      </c>
      <c r="E10" s="47">
        <v>184000</v>
      </c>
      <c r="F10" s="12">
        <f>E10*D10</f>
        <v>5888000</v>
      </c>
    </row>
    <row r="11" spans="1:6" x14ac:dyDescent="0.25">
      <c r="A11" s="11" t="s">
        <v>375</v>
      </c>
      <c r="B11" s="12" t="s">
        <v>317</v>
      </c>
      <c r="C11" s="12" t="s">
        <v>217</v>
      </c>
      <c r="D11" s="12">
        <v>20</v>
      </c>
      <c r="E11" s="47">
        <v>281750</v>
      </c>
      <c r="F11" s="12">
        <f t="shared" ref="F11:F13" si="0">E11*D11</f>
        <v>5635000</v>
      </c>
    </row>
    <row r="12" spans="1:6" x14ac:dyDescent="0.25">
      <c r="A12" s="11" t="s">
        <v>376</v>
      </c>
      <c r="B12" s="12" t="s">
        <v>318</v>
      </c>
      <c r="C12" s="12" t="s">
        <v>217</v>
      </c>
      <c r="D12" s="12">
        <v>1</v>
      </c>
      <c r="E12" s="47">
        <v>3450000</v>
      </c>
      <c r="F12" s="12">
        <f t="shared" si="0"/>
        <v>3450000</v>
      </c>
    </row>
    <row r="13" spans="1:6" x14ac:dyDescent="0.25">
      <c r="A13" s="11" t="s">
        <v>377</v>
      </c>
      <c r="B13" s="12" t="s">
        <v>319</v>
      </c>
      <c r="C13" s="12" t="s">
        <v>323</v>
      </c>
      <c r="D13" s="12">
        <v>1</v>
      </c>
      <c r="E13" s="47">
        <v>4025000</v>
      </c>
      <c r="F13" s="12">
        <f t="shared" si="0"/>
        <v>4025000</v>
      </c>
    </row>
    <row r="17" spans="2:6" ht="21" x14ac:dyDescent="0.35">
      <c r="B17" s="150" t="s">
        <v>224</v>
      </c>
      <c r="F17">
        <f>SUM(F10:F13)</f>
        <v>18998000</v>
      </c>
    </row>
    <row r="21" spans="2:6" x14ac:dyDescent="0.25">
      <c r="B21" t="s">
        <v>161</v>
      </c>
    </row>
    <row r="22" spans="2:6" x14ac:dyDescent="0.25">
      <c r="B22" t="s">
        <v>162</v>
      </c>
    </row>
    <row r="23" spans="2:6" x14ac:dyDescent="0.25">
      <c r="B23" t="s">
        <v>163</v>
      </c>
    </row>
    <row r="25" spans="2:6" x14ac:dyDescent="0.25">
      <c r="B25" t="s">
        <v>164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10DD-3A28-40D3-B1A1-4595F108A020}">
  <sheetPr>
    <pageSetUpPr fitToPage="1"/>
  </sheetPr>
  <dimension ref="A1:F23"/>
  <sheetViews>
    <sheetView workbookViewId="0">
      <selection activeCell="B19" sqref="B19:B23"/>
    </sheetView>
  </sheetViews>
  <sheetFormatPr baseColWidth="10" defaultRowHeight="15" x14ac:dyDescent="0.25"/>
  <cols>
    <col min="2" max="2" width="42.85546875" customWidth="1"/>
    <col min="4" max="4" width="14.85546875" customWidth="1"/>
    <col min="5" max="5" width="23.42578125" style="82" customWidth="1"/>
    <col min="6" max="6" width="38.140625" style="82" customWidth="1"/>
  </cols>
  <sheetData>
    <row r="1" spans="1:6" ht="18.75" x14ac:dyDescent="0.3">
      <c r="A1" s="181" t="s">
        <v>507</v>
      </c>
      <c r="B1" s="181"/>
      <c r="C1" s="181"/>
      <c r="D1" s="181"/>
      <c r="E1" s="181"/>
    </row>
    <row r="2" spans="1:6" x14ac:dyDescent="0.25">
      <c r="B2" s="132"/>
      <c r="C2" s="132"/>
      <c r="D2" s="132"/>
      <c r="E2" s="132"/>
    </row>
    <row r="3" spans="1:6" x14ac:dyDescent="0.25">
      <c r="B3" s="132"/>
      <c r="C3" s="132"/>
      <c r="D3" s="132"/>
      <c r="E3" s="132"/>
    </row>
    <row r="4" spans="1:6" x14ac:dyDescent="0.25">
      <c r="B4" s="132"/>
      <c r="C4" s="132"/>
      <c r="D4" s="132"/>
      <c r="E4" s="132"/>
    </row>
    <row r="5" spans="1:6" x14ac:dyDescent="0.25">
      <c r="B5" s="132"/>
      <c r="C5" s="132"/>
      <c r="D5" s="132"/>
      <c r="E5" s="132"/>
    </row>
    <row r="6" spans="1:6" x14ac:dyDescent="0.25">
      <c r="B6" s="132"/>
      <c r="C6" s="132"/>
      <c r="D6" s="132"/>
      <c r="E6" s="132"/>
    </row>
    <row r="7" spans="1:6" x14ac:dyDescent="0.25">
      <c r="B7" s="132"/>
      <c r="C7" s="132"/>
      <c r="D7" s="132"/>
      <c r="E7" s="132"/>
    </row>
    <row r="9" spans="1:6" ht="16.5" customHeight="1" x14ac:dyDescent="0.25"/>
    <row r="10" spans="1:6" x14ac:dyDescent="0.25">
      <c r="A10" s="4" t="s">
        <v>47</v>
      </c>
      <c r="B10" s="4" t="s">
        <v>48</v>
      </c>
      <c r="C10" s="4" t="s">
        <v>49</v>
      </c>
      <c r="D10" s="4" t="s">
        <v>50</v>
      </c>
      <c r="E10" s="143" t="s">
        <v>51</v>
      </c>
      <c r="F10" s="143" t="s">
        <v>22</v>
      </c>
    </row>
    <row r="11" spans="1:6" x14ac:dyDescent="0.25">
      <c r="B11" t="s">
        <v>468</v>
      </c>
      <c r="C11" t="s">
        <v>55</v>
      </c>
      <c r="D11">
        <v>1</v>
      </c>
      <c r="E11" s="82">
        <v>17411697.68</v>
      </c>
      <c r="F11" s="82">
        <f>E11*D11</f>
        <v>17411697.68</v>
      </c>
    </row>
    <row r="13" spans="1:6" ht="21" x14ac:dyDescent="0.35">
      <c r="B13" s="98" t="s">
        <v>510</v>
      </c>
      <c r="F13" s="90">
        <f>SUM(F11)</f>
        <v>17411697.68</v>
      </c>
    </row>
    <row r="19" spans="2:2" x14ac:dyDescent="0.25">
      <c r="B19" t="s">
        <v>161</v>
      </c>
    </row>
    <row r="20" spans="2:2" x14ac:dyDescent="0.25">
      <c r="B20" t="s">
        <v>162</v>
      </c>
    </row>
    <row r="21" spans="2:2" x14ac:dyDescent="0.25">
      <c r="B21" t="s">
        <v>163</v>
      </c>
    </row>
    <row r="23" spans="2:2" x14ac:dyDescent="0.25">
      <c r="B23" t="s">
        <v>164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8BD5-E60F-4FCE-B238-E1F38457A039}">
  <sheetPr>
    <pageSetUpPr fitToPage="1"/>
  </sheetPr>
  <dimension ref="A1:F21"/>
  <sheetViews>
    <sheetView workbookViewId="0">
      <selection activeCell="B17" sqref="B17:B21"/>
    </sheetView>
  </sheetViews>
  <sheetFormatPr baseColWidth="10" defaultRowHeight="15" x14ac:dyDescent="0.25"/>
  <cols>
    <col min="1" max="1" width="9.7109375" customWidth="1"/>
    <col min="2" max="2" width="37.7109375" customWidth="1"/>
    <col min="5" max="5" width="24.42578125" customWidth="1"/>
    <col min="6" max="6" width="27.5703125" customWidth="1"/>
  </cols>
  <sheetData>
    <row r="1" spans="1:6" ht="18.75" x14ac:dyDescent="0.3">
      <c r="A1" s="181" t="s">
        <v>506</v>
      </c>
      <c r="B1" s="181"/>
      <c r="C1" s="181"/>
      <c r="D1" s="181"/>
      <c r="E1" s="181"/>
    </row>
    <row r="11" spans="1:6" x14ac:dyDescent="0.25">
      <c r="A11" s="149" t="s">
        <v>47</v>
      </c>
      <c r="B11" s="149" t="s">
        <v>48</v>
      </c>
      <c r="C11" s="149" t="s">
        <v>49</v>
      </c>
      <c r="D11" s="149" t="s">
        <v>50</v>
      </c>
      <c r="E11" s="149" t="s">
        <v>51</v>
      </c>
      <c r="F11" s="149" t="s">
        <v>22</v>
      </c>
    </row>
    <row r="17" spans="2:2" x14ac:dyDescent="0.25">
      <c r="B17" t="s">
        <v>161</v>
      </c>
    </row>
    <row r="18" spans="2:2" x14ac:dyDescent="0.25">
      <c r="B18" t="s">
        <v>162</v>
      </c>
    </row>
    <row r="19" spans="2:2" x14ac:dyDescent="0.25">
      <c r="B19" t="s">
        <v>163</v>
      </c>
    </row>
    <row r="21" spans="2:2" x14ac:dyDescent="0.25">
      <c r="B21" t="s">
        <v>164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0A6F-2DD2-4368-8B9C-35BEE74885A3}">
  <sheetPr>
    <pageSetUpPr fitToPage="1"/>
  </sheetPr>
  <dimension ref="A1:F24"/>
  <sheetViews>
    <sheetView workbookViewId="0">
      <selection activeCell="L20" sqref="L20"/>
    </sheetView>
  </sheetViews>
  <sheetFormatPr baseColWidth="10" defaultRowHeight="15" x14ac:dyDescent="0.25"/>
  <cols>
    <col min="2" max="2" width="34.140625" customWidth="1"/>
    <col min="5" max="5" width="21" style="82" customWidth="1"/>
    <col min="6" max="6" width="26.42578125" style="82" customWidth="1"/>
  </cols>
  <sheetData>
    <row r="1" spans="1:6" ht="18.75" x14ac:dyDescent="0.3">
      <c r="A1" s="181" t="s">
        <v>508</v>
      </c>
      <c r="B1" s="181"/>
      <c r="C1" s="181"/>
      <c r="D1" s="181"/>
      <c r="E1" s="181"/>
    </row>
    <row r="10" spans="1:6" x14ac:dyDescent="0.25">
      <c r="A10" s="149" t="s">
        <v>47</v>
      </c>
      <c r="B10" s="149" t="s">
        <v>48</v>
      </c>
      <c r="C10" s="149" t="s">
        <v>49</v>
      </c>
      <c r="D10" s="149" t="s">
        <v>50</v>
      </c>
      <c r="E10" s="152" t="s">
        <v>51</v>
      </c>
      <c r="F10" s="152" t="s">
        <v>22</v>
      </c>
    </row>
    <row r="11" spans="1:6" ht="93" customHeight="1" x14ac:dyDescent="0.25">
      <c r="A11" s="28">
        <v>1</v>
      </c>
      <c r="B11" s="151" t="s">
        <v>509</v>
      </c>
      <c r="C11" s="28" t="s">
        <v>225</v>
      </c>
      <c r="D11" s="28">
        <v>515</v>
      </c>
      <c r="E11" s="153">
        <v>40250</v>
      </c>
      <c r="F11" s="153">
        <f>E11*D11</f>
        <v>20728750</v>
      </c>
    </row>
    <row r="15" spans="1:6" ht="21" x14ac:dyDescent="0.35">
      <c r="B15" s="98" t="s">
        <v>510</v>
      </c>
      <c r="F15" s="82">
        <f>SUM(F11)</f>
        <v>20728750</v>
      </c>
    </row>
    <row r="20" spans="2:2" x14ac:dyDescent="0.25">
      <c r="B20" t="s">
        <v>161</v>
      </c>
    </row>
    <row r="21" spans="2:2" x14ac:dyDescent="0.25">
      <c r="B21" t="s">
        <v>162</v>
      </c>
    </row>
    <row r="22" spans="2:2" x14ac:dyDescent="0.25">
      <c r="B22" t="s">
        <v>163</v>
      </c>
    </row>
    <row r="24" spans="2:2" x14ac:dyDescent="0.25">
      <c r="B24" t="s">
        <v>164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Page de garde</vt:lpstr>
      <vt:lpstr>SOMMAIRE</vt:lpstr>
      <vt:lpstr>RÉCAP TTC</vt:lpstr>
      <vt:lpstr>Lot 1</vt:lpstr>
      <vt:lpstr>Lot 1_PHASE1</vt:lpstr>
      <vt:lpstr>Lot 2</vt:lpstr>
      <vt:lpstr>Lot 3</vt:lpstr>
      <vt:lpstr>Lot 4</vt:lpstr>
      <vt:lpstr>Lot 5</vt:lpstr>
      <vt:lpstr>Lot 6</vt:lpstr>
      <vt:lpstr>Lot 7 PHASE 1</vt:lpstr>
      <vt:lpstr>Lot 7</vt:lpstr>
      <vt:lpstr>Lot 8</vt:lpstr>
      <vt:lpstr>Lot 9</vt:lpstr>
      <vt:lpstr>Lot 10</vt:lpstr>
      <vt:lpstr>Lot 11</vt:lpstr>
      <vt:lpstr>Lot 10_Bis</vt:lpstr>
      <vt:lpstr>Lot 12</vt:lpstr>
      <vt:lpstr>Lot 13</vt:lpstr>
      <vt:lpstr>Lot 14</vt:lpstr>
      <vt:lpstr>Lot 15</vt:lpstr>
      <vt:lpstr>Lot 16</vt:lpstr>
      <vt:lpstr>Lot 17</vt:lpstr>
      <vt:lpstr>Lot 18</vt:lpstr>
      <vt:lpstr>Lot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paterne gankama</cp:lastModifiedBy>
  <cp:lastPrinted>2025-11-01T14:22:17Z</cp:lastPrinted>
  <dcterms:created xsi:type="dcterms:W3CDTF">2025-10-23T06:17:31Z</dcterms:created>
  <dcterms:modified xsi:type="dcterms:W3CDTF">2025-11-13T23:05:39Z</dcterms:modified>
</cp:coreProperties>
</file>