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offrey\Desktop\BE_PROJETS\CLAUDE\BE_MULTIPROJETS\02_DONNEES_SOURCE\BPU\LOCAL\"/>
    </mc:Choice>
  </mc:AlternateContent>
  <xr:revisionPtr revIDLastSave="0" documentId="8_{7D1C4B44-EBFA-487F-B602-04097F61422E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BPU_LOCAL" sheetId="1" r:id="rId1"/>
    <sheet name="METRE" sheetId="2" r:id="rId2"/>
    <sheet name="RECAP_LOTS" sheetId="3" r:id="rId3"/>
    <sheet name="ANALYSE_SPATIA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D17" i="3" s="1"/>
  <c r="E17" i="3"/>
  <c r="E16" i="3"/>
  <c r="E15" i="3"/>
  <c r="D15" i="3"/>
  <c r="E14" i="3"/>
  <c r="E13" i="3"/>
  <c r="D13" i="3"/>
  <c r="E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J504" i="2"/>
  <c r="I504" i="2"/>
  <c r="J502" i="2"/>
  <c r="I502" i="2"/>
  <c r="J499" i="2"/>
  <c r="I499" i="2"/>
  <c r="J497" i="2"/>
  <c r="I497" i="2"/>
  <c r="J496" i="2"/>
  <c r="I496" i="2"/>
  <c r="J494" i="2"/>
  <c r="I494" i="2"/>
  <c r="J493" i="2"/>
  <c r="I493" i="2"/>
  <c r="J491" i="2"/>
  <c r="I491" i="2"/>
  <c r="J489" i="2"/>
  <c r="I489" i="2"/>
  <c r="J486" i="2"/>
  <c r="I486" i="2"/>
  <c r="J484" i="2"/>
  <c r="I484" i="2"/>
  <c r="J483" i="2"/>
  <c r="I483" i="2"/>
  <c r="J482" i="2"/>
  <c r="I482" i="2"/>
  <c r="J481" i="2"/>
  <c r="I481" i="2"/>
  <c r="J480" i="2"/>
  <c r="I480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0" i="2"/>
  <c r="I450" i="2"/>
  <c r="J449" i="2"/>
  <c r="I449" i="2"/>
  <c r="J448" i="2"/>
  <c r="I448" i="2"/>
  <c r="J446" i="2"/>
  <c r="I446" i="2"/>
  <c r="J443" i="2"/>
  <c r="I443" i="2"/>
  <c r="J442" i="2"/>
  <c r="I442" i="2"/>
  <c r="J441" i="2"/>
  <c r="I441" i="2"/>
  <c r="J440" i="2"/>
  <c r="I440" i="2"/>
  <c r="J438" i="2"/>
  <c r="I438" i="2"/>
  <c r="J436" i="2"/>
  <c r="I436" i="2"/>
  <c r="J435" i="2"/>
  <c r="I435" i="2"/>
  <c r="J434" i="2"/>
  <c r="I434" i="2"/>
  <c r="J433" i="2"/>
  <c r="I433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3" i="2"/>
  <c r="I393" i="2"/>
  <c r="J392" i="2"/>
  <c r="I392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7" i="2"/>
  <c r="I377" i="2"/>
  <c r="J376" i="2"/>
  <c r="I376" i="2"/>
  <c r="J375" i="2"/>
  <c r="I375" i="2"/>
  <c r="J374" i="2"/>
  <c r="I374" i="2"/>
  <c r="J372" i="2"/>
  <c r="I372" i="2"/>
  <c r="J371" i="2"/>
  <c r="I371" i="2"/>
  <c r="J370" i="2"/>
  <c r="I370" i="2"/>
  <c r="J369" i="2"/>
  <c r="I369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2" i="2"/>
  <c r="I352" i="2"/>
  <c r="J351" i="2"/>
  <c r="I351" i="2"/>
  <c r="J350" i="2"/>
  <c r="I350" i="2"/>
  <c r="J349" i="2"/>
  <c r="I349" i="2"/>
  <c r="J347" i="2"/>
  <c r="I347" i="2"/>
  <c r="J346" i="2"/>
  <c r="I346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8" i="2"/>
  <c r="I38" i="2"/>
  <c r="J37" i="2"/>
  <c r="I37" i="2"/>
  <c r="J36" i="2"/>
  <c r="I36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18" i="2"/>
  <c r="I18" i="2"/>
  <c r="J17" i="2"/>
  <c r="I17" i="2"/>
  <c r="J16" i="2"/>
  <c r="I16" i="2"/>
  <c r="J15" i="2"/>
  <c r="I15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D12" i="3" l="1"/>
  <c r="D14" i="3"/>
  <c r="D16" i="3"/>
</calcChain>
</file>

<file path=xl/sharedStrings.xml><?xml version="1.0" encoding="utf-8"?>
<sst xmlns="http://schemas.openxmlformats.org/spreadsheetml/2006/main" count="4060" uniqueCount="1387">
  <si>
    <t>BORDEREAU DES PRIX UNITAIRES (BPU) — LOCAL</t>
  </si>
  <si>
    <t>PROJET DE CONSTRUCTION D'UN CENTRE MÉDICAL À POINTE NOIRE  |  CONSTRUCT BTP  |  DEVIS Nº13082025</t>
  </si>
  <si>
    <t>N°</t>
  </si>
  <si>
    <t>LOT</t>
  </si>
  <si>
    <t>CODE</t>
  </si>
  <si>
    <t>DÉSIGNATION DE LA PRESTATION</t>
  </si>
  <si>
    <t>UNITÉ</t>
  </si>
  <si>
    <t>PRIX UNITAIRE (FCFA)</t>
  </si>
  <si>
    <t>OBSERVATIONS</t>
  </si>
  <si>
    <t>SOURCE DQE</t>
  </si>
  <si>
    <t>LOT 1 : GROS ŒUVRE ET DÉMOLITION</t>
  </si>
  <si>
    <t xml:space="preserve">  A — Installation générale du chantier</t>
  </si>
  <si>
    <t>A1</t>
  </si>
  <si>
    <t>Lot 1</t>
  </si>
  <si>
    <t>MOBILISATION</t>
  </si>
  <si>
    <t>Mobilisation</t>
  </si>
  <si>
    <t>Ens</t>
  </si>
  <si>
    <t>Lot 1 §A</t>
  </si>
  <si>
    <t>A2</t>
  </si>
  <si>
    <t>BUREAU_CHT</t>
  </si>
  <si>
    <t>Bureau de chantier, atelier, baraquement et clôture provisoire</t>
  </si>
  <si>
    <t>A3</t>
  </si>
  <si>
    <t>ABONNEMENT</t>
  </si>
  <si>
    <t>Abonnement et mensualités concessionnaires</t>
  </si>
  <si>
    <t>A4</t>
  </si>
  <si>
    <t>MATERIEL_CHT</t>
  </si>
  <si>
    <t>Matériel de chantier (engins, manutention)</t>
  </si>
  <si>
    <t>A5</t>
  </si>
  <si>
    <t>DIVERS_CHT</t>
  </si>
  <si>
    <t>Divers (sécurité, ASE, panneau de chantier)</t>
  </si>
  <si>
    <t>A6</t>
  </si>
  <si>
    <t>ETUDES</t>
  </si>
  <si>
    <t>Études techniques et Essais</t>
  </si>
  <si>
    <t>A7</t>
  </si>
  <si>
    <t>PIQUETAGE</t>
  </si>
  <si>
    <t>Ensemble des axes / piquetage</t>
  </si>
  <si>
    <t xml:space="preserve">  B — Démolition</t>
  </si>
  <si>
    <t>B1</t>
  </si>
  <si>
    <t>DEMOL_RDC</t>
  </si>
  <si>
    <t>Démolition des murs et escalier (RDC)</t>
  </si>
  <si>
    <t>FF</t>
  </si>
  <si>
    <t>Lot 1 §B</t>
  </si>
  <si>
    <t>B2</t>
  </si>
  <si>
    <t>DEMOL_DALLE</t>
  </si>
  <si>
    <t>Démolition murs, escalier et dalle existante (annexe)</t>
  </si>
  <si>
    <t>B3</t>
  </si>
  <si>
    <t>DEMOL_ETG</t>
  </si>
  <si>
    <t>Démolition des murs et escalier (Étage 2)</t>
  </si>
  <si>
    <t>B4</t>
  </si>
  <si>
    <t>EVACU_GRAV</t>
  </si>
  <si>
    <t>Évacuation des gravats hors site</t>
  </si>
  <si>
    <t>B5</t>
  </si>
  <si>
    <t>DECAPAGE</t>
  </si>
  <si>
    <t>Décapage des carreaux sol existants</t>
  </si>
  <si>
    <t>m2</t>
  </si>
  <si>
    <t xml:space="preserve">  C — Béton armé &amp; maçonnerie</t>
  </si>
  <si>
    <t>C1</t>
  </si>
  <si>
    <t>BETON_PROP</t>
  </si>
  <si>
    <t>Béton de propreté (dosage 150 kg/m³)</t>
  </si>
  <si>
    <t>m3</t>
  </si>
  <si>
    <t>Lot 1 §C</t>
  </si>
  <si>
    <t>C2</t>
  </si>
  <si>
    <t>BETON_400</t>
  </si>
  <si>
    <t>Béton armé dosé à 400 kg/m³ (hydrométrique)</t>
  </si>
  <si>
    <t>Lot 1 §C/D/E/F/G/H</t>
  </si>
  <si>
    <t>C3</t>
  </si>
  <si>
    <t>BETON_350</t>
  </si>
  <si>
    <t>Béton armé dosé à 350 kg/m³</t>
  </si>
  <si>
    <t>C4</t>
  </si>
  <si>
    <t>COFFRAGE</t>
  </si>
  <si>
    <t>Coffrage traditionnel bois</t>
  </si>
  <si>
    <t>Lot 1 — tous niveaux</t>
  </si>
  <si>
    <t>C5</t>
  </si>
  <si>
    <t>ACIER_HA</t>
  </si>
  <si>
    <t>Acier HA — armatures (toutes nuances)</t>
  </si>
  <si>
    <t>kg</t>
  </si>
  <si>
    <t>C6</t>
  </si>
  <si>
    <t>AGGLOS_PL</t>
  </si>
  <si>
    <t>Agglos pleins 20×20×50 — soubassements</t>
  </si>
  <si>
    <t>C7</t>
  </si>
  <si>
    <t>AGGLOS_CR</t>
  </si>
  <si>
    <t>Agglos creux 20×20×50 — maçonnerie courante</t>
  </si>
  <si>
    <t>Lot 1 §D/E/F/G/H</t>
  </si>
  <si>
    <t>C8</t>
  </si>
  <si>
    <t>HOURDIS</t>
  </si>
  <si>
    <t>Hourdis — plancher collaborant</t>
  </si>
  <si>
    <t>C9</t>
  </si>
  <si>
    <t>ENDUIT_MU</t>
  </si>
  <si>
    <t>Enduits intérieurs et extérieurs sur murs</t>
  </si>
  <si>
    <t>C10</t>
  </si>
  <si>
    <t>ENDUIT_PL</t>
  </si>
  <si>
    <t>Enduits sous plafond</t>
  </si>
  <si>
    <t>LOT 2 : ÉTANCHÉITÉ</t>
  </si>
  <si>
    <t>D1</t>
  </si>
  <si>
    <t>Lot 2</t>
  </si>
  <si>
    <t>REV_MONO</t>
  </si>
  <si>
    <t>Revêtement étanchéité monocouche</t>
  </si>
  <si>
    <t>D2</t>
  </si>
  <si>
    <t>REV_BICOU</t>
  </si>
  <si>
    <t>Revêtement étanchéité bicouche (locaux humides)</t>
  </si>
  <si>
    <t>D3</t>
  </si>
  <si>
    <t>REV_BICO_P</t>
  </si>
  <si>
    <t>Revêtement bicouche sous protection lourde (terrasse accessible)</t>
  </si>
  <si>
    <t>D4</t>
  </si>
  <si>
    <t>REV_MONO_P</t>
  </si>
  <si>
    <t>Revêtement monocouche sous protection lourde (terrasse inaccessible)</t>
  </si>
  <si>
    <t>D5</t>
  </si>
  <si>
    <t>FORME_PTE</t>
  </si>
  <si>
    <t>Forme de pente</t>
  </si>
  <si>
    <t>D6</t>
  </si>
  <si>
    <t>RELEVE_50</t>
  </si>
  <si>
    <t>Relevé d'étanchéité h=50 cm</t>
  </si>
  <si>
    <t>ml</t>
  </si>
  <si>
    <t>LOT 3 : REVÊTEMENT DURS</t>
  </si>
  <si>
    <t>E1</t>
  </si>
  <si>
    <t>Lot 3</t>
  </si>
  <si>
    <t>FAIENCE</t>
  </si>
  <si>
    <t>Faïence murale en granite ou similaire</t>
  </si>
  <si>
    <t>E2</t>
  </si>
  <si>
    <t>GRANITE_60</t>
  </si>
  <si>
    <t>Granite tile SARADO Grey-Flamed 60×60 — sol</t>
  </si>
  <si>
    <t>E3</t>
  </si>
  <si>
    <t>PLINTHE</t>
  </si>
  <si>
    <t>Plinthe 10×60 Granite tile SARADO Grey-Flamed</t>
  </si>
  <si>
    <t>E4</t>
  </si>
  <si>
    <t>TABLE_GRAN</t>
  </si>
  <si>
    <t>Table de travail en granite ou similaire</t>
  </si>
  <si>
    <t>Lot 3 §F</t>
  </si>
  <si>
    <t>LOT 4 : MENUISERIE ALUMINIUM ET VITRERIE</t>
  </si>
  <si>
    <t>F1</t>
  </si>
  <si>
    <t>Lot 4</t>
  </si>
  <si>
    <t>BAIE_ALU</t>
  </si>
  <si>
    <t>Baie vitrée / porte aluminium (toutes dimensions)</t>
  </si>
  <si>
    <t>Lot 4 — PU uniforme au m²</t>
  </si>
  <si>
    <t>F2</t>
  </si>
  <si>
    <t>GC_ALU</t>
  </si>
  <si>
    <t>Garde corps en aluminium</t>
  </si>
  <si>
    <t>LOT 5 : MENUISERIE MÉTALLIQUE ET FERRONNERIE</t>
  </si>
  <si>
    <t>G1</t>
  </si>
  <si>
    <t>Lot 5</t>
  </si>
  <si>
    <t>PORTE_MET</t>
  </si>
  <si>
    <t>Porte métallique local GE</t>
  </si>
  <si>
    <t>U</t>
  </si>
  <si>
    <t>Lot 5 §A</t>
  </si>
  <si>
    <t>G2</t>
  </si>
  <si>
    <t>GRILLE_MET</t>
  </si>
  <si>
    <t>Grille de protection local GE</t>
  </si>
  <si>
    <t>G3</t>
  </si>
  <si>
    <t>PLATEFORME</t>
  </si>
  <si>
    <t>Plateforme métallique avec parquet bois</t>
  </si>
  <si>
    <t>Lot 5 §B</t>
  </si>
  <si>
    <t>G4</t>
  </si>
  <si>
    <t>ESCALIER_M</t>
  </si>
  <si>
    <t>Escalier métallique avec habillage marches bois</t>
  </si>
  <si>
    <t>G5</t>
  </si>
  <si>
    <t>GC_MET</t>
  </si>
  <si>
    <t>Garde corps métallique</t>
  </si>
  <si>
    <t>G6</t>
  </si>
  <si>
    <t>GRILLAGE</t>
  </si>
  <si>
    <t>Grillage de protection mezzanine</t>
  </si>
  <si>
    <t>LOT 6 : MENUISERIE BOIS</t>
  </si>
  <si>
    <t>H1</t>
  </si>
  <si>
    <t>Lot 6</t>
  </si>
  <si>
    <t>PORTE_90</t>
  </si>
  <si>
    <t>Porte MDF PB 90×220 ouvrant à la française</t>
  </si>
  <si>
    <t>H2</t>
  </si>
  <si>
    <t>PORTE_80</t>
  </si>
  <si>
    <t>Porte MDF PB 80×220 ouvrant à la française</t>
  </si>
  <si>
    <t>H3</t>
  </si>
  <si>
    <t>ETAGERE_CS</t>
  </si>
  <si>
    <t>Étagère supérieure de cuisine</t>
  </si>
  <si>
    <t>H4</t>
  </si>
  <si>
    <t>ETAGERE_CI</t>
  </si>
  <si>
    <t>Étagère inférieure de cuisine</t>
  </si>
  <si>
    <t>H5</t>
  </si>
  <si>
    <t>ETAGERE_VS</t>
  </si>
  <si>
    <t>Étagère supérieure de vaisselerie</t>
  </si>
  <si>
    <t>Lot 6 §D</t>
  </si>
  <si>
    <t>H6</t>
  </si>
  <si>
    <t>ETAGERE_VI</t>
  </si>
  <si>
    <t>Étagère inférieure de vaisselerie</t>
  </si>
  <si>
    <t>LOT 7 : ÉLECTRICITÉ</t>
  </si>
  <si>
    <t xml:space="preserve">  Éclairage</t>
  </si>
  <si>
    <t>I1</t>
  </si>
  <si>
    <t>Lot 7</t>
  </si>
  <si>
    <t>DALLE_LED</t>
  </si>
  <si>
    <t>Dalle LED 60×60 40W</t>
  </si>
  <si>
    <t>Lot 7 §A</t>
  </si>
  <si>
    <t>I2</t>
  </si>
  <si>
    <t>REGLETTE_E</t>
  </si>
  <si>
    <t>Réglette encastrable 60×60 4×14W</t>
  </si>
  <si>
    <t>I3</t>
  </si>
  <si>
    <t>REGLETTE_T</t>
  </si>
  <si>
    <t>Réglette étanche 2×20W</t>
  </si>
  <si>
    <t>I4</t>
  </si>
  <si>
    <t>PANEL_LED</t>
  </si>
  <si>
    <t>Panel LED 120×30cm</t>
  </si>
  <si>
    <t>I5</t>
  </si>
  <si>
    <t>APPLIQ_SDB</t>
  </si>
  <si>
    <t>Applique sanitaire PC+Int</t>
  </si>
  <si>
    <t>I6</t>
  </si>
  <si>
    <t>APPLIQ_MUR</t>
  </si>
  <si>
    <t>Applique murale</t>
  </si>
  <si>
    <t>I7</t>
  </si>
  <si>
    <t>APPLIQ_ET</t>
  </si>
  <si>
    <t>Applique murale étanche</t>
  </si>
  <si>
    <t>I8</t>
  </si>
  <si>
    <t>SPOT_HALO</t>
  </si>
  <si>
    <t>Spot encastrable halogène G5.3</t>
  </si>
  <si>
    <t>I9</t>
  </si>
  <si>
    <t>SPOT_18W</t>
  </si>
  <si>
    <t>Spot LED 18W</t>
  </si>
  <si>
    <t>I10</t>
  </si>
  <si>
    <t>SPOT_22W</t>
  </si>
  <si>
    <t>Spot LED 22W</t>
  </si>
  <si>
    <t>I11</t>
  </si>
  <si>
    <t>SPOT_14W</t>
  </si>
  <si>
    <t>Spot LED 14W</t>
  </si>
  <si>
    <t>I12</t>
  </si>
  <si>
    <t>BAES_AMB</t>
  </si>
  <si>
    <t>BAES Ambiance LEGRAND — autonomie 1h</t>
  </si>
  <si>
    <t>Lot 7 §B</t>
  </si>
  <si>
    <t>I13</t>
  </si>
  <si>
    <t>BAES_DIR</t>
  </si>
  <si>
    <t>BAES Direction LEGRAND — autonomie 1h</t>
  </si>
  <si>
    <t xml:space="preserve">  Commandes &amp; prises</t>
  </si>
  <si>
    <t>I14</t>
  </si>
  <si>
    <t>INT_SIMPLE</t>
  </si>
  <si>
    <t>Interrupteur simple allumage</t>
  </si>
  <si>
    <t>Lot 7 §C</t>
  </si>
  <si>
    <t>I15</t>
  </si>
  <si>
    <t>INT_VV</t>
  </si>
  <si>
    <t>Interrupteur va et vient</t>
  </si>
  <si>
    <t>I16</t>
  </si>
  <si>
    <t>BTN_POUSS</t>
  </si>
  <si>
    <t>Bouton poussoir avec témoin</t>
  </si>
  <si>
    <t>I17</t>
  </si>
  <si>
    <t>DET_PRES</t>
  </si>
  <si>
    <t>Détecteur de présence</t>
  </si>
  <si>
    <t>I18</t>
  </si>
  <si>
    <t>INV_AUTO</t>
  </si>
  <si>
    <t>Inverseur automatique de source triphasé</t>
  </si>
  <si>
    <t>I19</t>
  </si>
  <si>
    <t>PRISE_NOR</t>
  </si>
  <si>
    <t>Prise courant mosaïque blanc</t>
  </si>
  <si>
    <t>I20</t>
  </si>
  <si>
    <t>PRISE_RGE</t>
  </si>
  <si>
    <t>Prise courant mosaïque rouge</t>
  </si>
  <si>
    <t>I21</t>
  </si>
  <si>
    <t>PRISE_RES</t>
  </si>
  <si>
    <t>Prise réseau RJ45</t>
  </si>
  <si>
    <t>I22</t>
  </si>
  <si>
    <t>PRISE_TEL</t>
  </si>
  <si>
    <t>Prise téléphone</t>
  </si>
  <si>
    <t>I23</t>
  </si>
  <si>
    <t>PRISE_TV</t>
  </si>
  <si>
    <t>Prise TV</t>
  </si>
  <si>
    <t>I24</t>
  </si>
  <si>
    <t>PRISE_ET</t>
  </si>
  <si>
    <t>Prise courant étanche</t>
  </si>
  <si>
    <t xml:space="preserve">  Câbles &amp; fourreaux</t>
  </si>
  <si>
    <t>I25</t>
  </si>
  <si>
    <t>CAB_3G1</t>
  </si>
  <si>
    <t>Câble U1000R2V 3G1.5mm²</t>
  </si>
  <si>
    <t>Lot 7 §D</t>
  </si>
  <si>
    <t>I26</t>
  </si>
  <si>
    <t>CAB_3G25</t>
  </si>
  <si>
    <t>Câble U1000R2V 3G2.5mm²</t>
  </si>
  <si>
    <t>I27</t>
  </si>
  <si>
    <t>CAB_3G6</t>
  </si>
  <si>
    <t>Câble U1000R2V 3G6mm²</t>
  </si>
  <si>
    <t>I28</t>
  </si>
  <si>
    <t>CAB_5G10</t>
  </si>
  <si>
    <t>Câble U1000R2V 5G10mm²</t>
  </si>
  <si>
    <t>I29</t>
  </si>
  <si>
    <t>CAB_5G25</t>
  </si>
  <si>
    <t>Câble U1000R2V 5G25mm²</t>
  </si>
  <si>
    <t>I30</t>
  </si>
  <si>
    <t>CAB_1X120</t>
  </si>
  <si>
    <t>Câble U1000R2V 1×120mm²</t>
  </si>
  <si>
    <t>I31</t>
  </si>
  <si>
    <t>CAB_1X95</t>
  </si>
  <si>
    <t>Câble U1000R2V 1×95mm² V/J</t>
  </si>
  <si>
    <t>I32</t>
  </si>
  <si>
    <t>CHEM_500</t>
  </si>
  <si>
    <t>Chemin de câble 500×50×3000</t>
  </si>
  <si>
    <t>I33</t>
  </si>
  <si>
    <t>CHEM_300</t>
  </si>
  <si>
    <t>Chemin de câble 300×50×3000</t>
  </si>
  <si>
    <t>I34</t>
  </si>
  <si>
    <t>CHEM_200</t>
  </si>
  <si>
    <t>Chemin de câble 200×50×3000</t>
  </si>
  <si>
    <t>I35</t>
  </si>
  <si>
    <t>CHEM_100</t>
  </si>
  <si>
    <t>Chemin de câble 100×50×3000</t>
  </si>
  <si>
    <t>I36</t>
  </si>
  <si>
    <t>GAINE_ICTA</t>
  </si>
  <si>
    <t>Gaine ICTA 20mm rouleau 100m</t>
  </si>
  <si>
    <t>I37</t>
  </si>
  <si>
    <t>GAINE_TPC</t>
  </si>
  <si>
    <t>Gaine TPC 110 rouleau 25m</t>
  </si>
  <si>
    <t>I38</t>
  </si>
  <si>
    <t>GAINE_TL</t>
  </si>
  <si>
    <t>Gaine tête de lit</t>
  </si>
  <si>
    <t>I39</t>
  </si>
  <si>
    <t>UPS_30KVA</t>
  </si>
  <si>
    <t>UPS Triphasé 30 KVA</t>
  </si>
  <si>
    <t xml:space="preserve">  Tableaux &amp; équipements</t>
  </si>
  <si>
    <t>I40</t>
  </si>
  <si>
    <t>TGBT</t>
  </si>
  <si>
    <t>TGBT précâblé</t>
  </si>
  <si>
    <t>Lot 7 §E</t>
  </si>
  <si>
    <t>I41</t>
  </si>
  <si>
    <t>TAB_CN</t>
  </si>
  <si>
    <t>Table distribution courant normal</t>
  </si>
  <si>
    <t>I42</t>
  </si>
  <si>
    <t>TGDO</t>
  </si>
  <si>
    <t>TGDO précâblé</t>
  </si>
  <si>
    <t>I43</t>
  </si>
  <si>
    <t>TAB_CO</t>
  </si>
  <si>
    <t>Table distribution courant ondulé</t>
  </si>
  <si>
    <t>I44</t>
  </si>
  <si>
    <t>GE_60KVA</t>
  </si>
  <si>
    <t>Groupe électrogène insonorisé 60 KVA</t>
  </si>
  <si>
    <t>Lot 7 §F</t>
  </si>
  <si>
    <t>I45</t>
  </si>
  <si>
    <t>PV_300WC</t>
  </si>
  <si>
    <t>Module photovoltaïque 300Wc/24V</t>
  </si>
  <si>
    <t>Lot 7 §G</t>
  </si>
  <si>
    <t>I46</t>
  </si>
  <si>
    <t>BATT_GEL</t>
  </si>
  <si>
    <t>Batterie gel 200Ah/12V</t>
  </si>
  <si>
    <t>I47</t>
  </si>
  <si>
    <t>ONDULEUR</t>
  </si>
  <si>
    <t>Onduleur hybride 12 KVA/48VDC</t>
  </si>
  <si>
    <t>LOT 8 : CLIMATISATION</t>
  </si>
  <si>
    <t>J1</t>
  </si>
  <si>
    <t>Lot 8</t>
  </si>
  <si>
    <t>UE_SPLIT</t>
  </si>
  <si>
    <t>Unité extérieure Multi-Split Samsung R32</t>
  </si>
  <si>
    <t>Lot 8 §A</t>
  </si>
  <si>
    <t>J2</t>
  </si>
  <si>
    <t>UI_1_5CV</t>
  </si>
  <si>
    <t>Unité intérieure 1.5CV gainable Samsung</t>
  </si>
  <si>
    <t>Lot 8 §B</t>
  </si>
  <si>
    <t>J3</t>
  </si>
  <si>
    <t>UI_2CV</t>
  </si>
  <si>
    <t>Unité intérieure 2CV gainable Samsung</t>
  </si>
  <si>
    <t>J4</t>
  </si>
  <si>
    <t>UI_3CV</t>
  </si>
  <si>
    <t>Unité intérieure 3CV gainable Samsung</t>
  </si>
  <si>
    <t>J5</t>
  </si>
  <si>
    <t>TELECOM_CL</t>
  </si>
  <si>
    <t>Télécommande infrarouge unités intérieures</t>
  </si>
  <si>
    <t>Lot 8 §C</t>
  </si>
  <si>
    <t>J6</t>
  </si>
  <si>
    <t>GRILLE_600</t>
  </si>
  <si>
    <t>Grille soufflage/reprise LAC40 600×150mm</t>
  </si>
  <si>
    <t>J7</t>
  </si>
  <si>
    <t>GRILLE_800</t>
  </si>
  <si>
    <t>Grille soufflage/reprise LAC40 800×150mm</t>
  </si>
  <si>
    <t>J8</t>
  </si>
  <si>
    <t>GRILLE_1000</t>
  </si>
  <si>
    <t>Grille soufflage/reprise LAC40 1000×150mm</t>
  </si>
  <si>
    <t>LOT 9 : SÉCURITÉ INCENDIE ET VIDÉO SURVEILLANCE</t>
  </si>
  <si>
    <t>K1</t>
  </si>
  <si>
    <t>Lot 9</t>
  </si>
  <si>
    <t>DET_OPT</t>
  </si>
  <si>
    <t>Détecteur optique de fumée adressable</t>
  </si>
  <si>
    <t>Lot 9 §A</t>
  </si>
  <si>
    <t>K2</t>
  </si>
  <si>
    <t>DET_THERM</t>
  </si>
  <si>
    <t>Détecteur thermovélocimétrie adressable</t>
  </si>
  <si>
    <t>K3</t>
  </si>
  <si>
    <t>DET_FLAMME</t>
  </si>
  <si>
    <t>Détecteur de flamme adressable</t>
  </si>
  <si>
    <t>K4</t>
  </si>
  <si>
    <t>DECL_MAN</t>
  </si>
  <si>
    <t>Déclencheur manuel adressable</t>
  </si>
  <si>
    <t>K5</t>
  </si>
  <si>
    <t>AVERT_FUM</t>
  </si>
  <si>
    <t>Déclencheur autonome avertisseur fumée</t>
  </si>
  <si>
    <t>K6</t>
  </si>
  <si>
    <t>EXT_POUDR</t>
  </si>
  <si>
    <t>Extincteur poudre ABC 6 Kg</t>
  </si>
  <si>
    <t>K7</t>
  </si>
  <si>
    <t>EXT_CO2</t>
  </si>
  <si>
    <t>Extincteur CO2 5 Kg</t>
  </si>
  <si>
    <t>K8</t>
  </si>
  <si>
    <t>BAC_SABLE</t>
  </si>
  <si>
    <t>Bac à sable 100 litres</t>
  </si>
  <si>
    <t>K9</t>
  </si>
  <si>
    <t>CAM_EXT</t>
  </si>
  <si>
    <t>Caméra extérieure avec protection</t>
  </si>
  <si>
    <t>Lot 9 §B</t>
  </si>
  <si>
    <t>K10</t>
  </si>
  <si>
    <t>CAM_INT</t>
  </si>
  <si>
    <t>Caméra intérieure fixe dôme</t>
  </si>
  <si>
    <t>K11</t>
  </si>
  <si>
    <t>NVR</t>
  </si>
  <si>
    <t>Serveur enregistrement NVR</t>
  </si>
  <si>
    <t>K12</t>
  </si>
  <si>
    <t>MONITEUR</t>
  </si>
  <si>
    <t>Moniteur LCD</t>
  </si>
  <si>
    <t>K13</t>
  </si>
  <si>
    <t>KIT_ACC</t>
  </si>
  <si>
    <t>Kit contrôle d'accès porte</t>
  </si>
  <si>
    <t>Lot 9 §C</t>
  </si>
  <si>
    <t>LOT 10 : PLOMBERIE SANITAIRE</t>
  </si>
  <si>
    <t xml:space="preserve">  Appareils sanitaires</t>
  </si>
  <si>
    <t>L1</t>
  </si>
  <si>
    <t>Lot 10</t>
  </si>
  <si>
    <t>WC_ANG</t>
  </si>
  <si>
    <t>WC à l'anglaise complet</t>
  </si>
  <si>
    <t>Lot 10 §A</t>
  </si>
  <si>
    <t>L2</t>
  </si>
  <si>
    <t>DOUCHE</t>
  </si>
  <si>
    <t>Receveur de douche</t>
  </si>
  <si>
    <t>L3</t>
  </si>
  <si>
    <t>LAVABO</t>
  </si>
  <si>
    <t>Lavabo ou vasque simple</t>
  </si>
  <si>
    <t>L4</t>
  </si>
  <si>
    <t>EVIER</t>
  </si>
  <si>
    <t>Évier</t>
  </si>
  <si>
    <t>L5</t>
  </si>
  <si>
    <t>CE_50L</t>
  </si>
  <si>
    <t>Chauffe-eau 50 litres</t>
  </si>
  <si>
    <t>L6</t>
  </si>
  <si>
    <t>CE_75L</t>
  </si>
  <si>
    <t>Chauffe-eau 75 litres</t>
  </si>
  <si>
    <t>L7</t>
  </si>
  <si>
    <t>CE_100L</t>
  </si>
  <si>
    <t>Chauffe-eau 100 litres</t>
  </si>
  <si>
    <t xml:space="preserve">  Canalisations évacuation EU/EV/EP</t>
  </si>
  <si>
    <t>L8</t>
  </si>
  <si>
    <t>PVC_D25E</t>
  </si>
  <si>
    <t>Canalisation évacuation PVC D25</t>
  </si>
  <si>
    <t>Lot 10 §B</t>
  </si>
  <si>
    <t>L9</t>
  </si>
  <si>
    <t>PVC_D40E</t>
  </si>
  <si>
    <t>Canalisation évacuation PVC D40</t>
  </si>
  <si>
    <t>L10</t>
  </si>
  <si>
    <t>PVC_D50E</t>
  </si>
  <si>
    <t>Canalisation évacuation PVC D50</t>
  </si>
  <si>
    <t>L11</t>
  </si>
  <si>
    <t>PVC_D63E</t>
  </si>
  <si>
    <t>Canalisation évacuation PVC D63</t>
  </si>
  <si>
    <t>L12</t>
  </si>
  <si>
    <t>PVC_D75E</t>
  </si>
  <si>
    <t>Canalisation évacuation PVC D75</t>
  </si>
  <si>
    <t>L13</t>
  </si>
  <si>
    <t>PVC_D110E</t>
  </si>
  <si>
    <t>Canalisation évacuation PVC D110</t>
  </si>
  <si>
    <t>L14</t>
  </si>
  <si>
    <t>PVC_D125E</t>
  </si>
  <si>
    <t>Canalisation évacuation PVC D125</t>
  </si>
  <si>
    <t>L15</t>
  </si>
  <si>
    <t>PVC_D160E</t>
  </si>
  <si>
    <t>Canalisation évacuation PVC D160</t>
  </si>
  <si>
    <t>L16</t>
  </si>
  <si>
    <t>PVC_D200E</t>
  </si>
  <si>
    <t>Canalisation évacuation PVC D200</t>
  </si>
  <si>
    <t xml:space="preserve">  Canalisations alimentation &amp; distribution</t>
  </si>
  <si>
    <t>L17</t>
  </si>
  <si>
    <t>PVC_D75A</t>
  </si>
  <si>
    <t>Canalisation alimentation PVC D75</t>
  </si>
  <si>
    <t>Lot 10 §C</t>
  </si>
  <si>
    <t>L18</t>
  </si>
  <si>
    <t>PVC_D40A</t>
  </si>
  <si>
    <t>Canalisation alimentation PVC D40</t>
  </si>
  <si>
    <t>L19</t>
  </si>
  <si>
    <t>PVC_D32A</t>
  </si>
  <si>
    <t>Canalisation alimentation PVC D32</t>
  </si>
  <si>
    <t>L20</t>
  </si>
  <si>
    <t>PVC_D25A</t>
  </si>
  <si>
    <t>Canalisation alimentation PVC D25</t>
  </si>
  <si>
    <t>L21</t>
  </si>
  <si>
    <t>PER_13X16</t>
  </si>
  <si>
    <t>Canalisation alimentation PER 13×16</t>
  </si>
  <si>
    <t>Lot 10 §D</t>
  </si>
  <si>
    <t>L22</t>
  </si>
  <si>
    <t>PER_16X20</t>
  </si>
  <si>
    <t>Canalisation alimentation PER 16×20</t>
  </si>
  <si>
    <t>L23</t>
  </si>
  <si>
    <t>PER_20X25</t>
  </si>
  <si>
    <t>Canalisation alimentation PER 20×25</t>
  </si>
  <si>
    <t>L24</t>
  </si>
  <si>
    <t>PER_26X32</t>
  </si>
  <si>
    <t>Canalisation alimentation PER 26×32</t>
  </si>
  <si>
    <t>L25</t>
  </si>
  <si>
    <t>COLLECT</t>
  </si>
  <si>
    <t>Collecteur à robinetterie intégrée EF+EC</t>
  </si>
  <si>
    <t>L26</t>
  </si>
  <si>
    <t>SUPPRESS</t>
  </si>
  <si>
    <t>Station de surpression 27m³/h — 35 mCE</t>
  </si>
  <si>
    <t>Lot 10 §E</t>
  </si>
  <si>
    <t>L27</t>
  </si>
  <si>
    <t>TAMPON</t>
  </si>
  <si>
    <t>Tampon de fermeture en fonte fosses</t>
  </si>
  <si>
    <t>Lot 10 §F</t>
  </si>
  <si>
    <t>L28</t>
  </si>
  <si>
    <t>SIPHON_D63</t>
  </si>
  <si>
    <t>Siphon de sol D63</t>
  </si>
  <si>
    <t>L29</t>
  </si>
  <si>
    <t>COND_D125</t>
  </si>
  <si>
    <t>Conduit spiralé acier galva D125 (VMC)</t>
  </si>
  <si>
    <t>Lot 10 §G</t>
  </si>
  <si>
    <t>L30</t>
  </si>
  <si>
    <t>COND_D160</t>
  </si>
  <si>
    <t>Conduit spiralé acier galva D160 (VMC)</t>
  </si>
  <si>
    <t>L31</t>
  </si>
  <si>
    <t>COND_D200</t>
  </si>
  <si>
    <t>Conduit spiralé acier galva D200 (VMC)</t>
  </si>
  <si>
    <t>LOT 11 : FAUX PLAFOND ET CLOISONS BA13</t>
  </si>
  <si>
    <t>M1</t>
  </si>
  <si>
    <t>Lot 11</t>
  </si>
  <si>
    <t>FP_ISOREL</t>
  </si>
  <si>
    <t>Faux plafond en plaquette d'isorelle</t>
  </si>
  <si>
    <t>Lot 11 §A</t>
  </si>
  <si>
    <t>M2</t>
  </si>
  <si>
    <t>CLOISON_BA</t>
  </si>
  <si>
    <t>Cloison BA13 avec laine de verre</t>
  </si>
  <si>
    <t>Lot 11 §B</t>
  </si>
  <si>
    <t>M3</t>
  </si>
  <si>
    <t>FP_STAFF</t>
  </si>
  <si>
    <t>Faux plafond en staff lisse décorative</t>
  </si>
  <si>
    <t>Lot 11 §C/D</t>
  </si>
  <si>
    <t>M4</t>
  </si>
  <si>
    <t>CORNICHE</t>
  </si>
  <si>
    <t>Corniche décorative</t>
  </si>
  <si>
    <t>LOT 12 : ASCENSEUR</t>
  </si>
  <si>
    <t>N1</t>
  </si>
  <si>
    <t>Lot 12</t>
  </si>
  <si>
    <t>ASCENS</t>
  </si>
  <si>
    <t>Ascenseur 630 kg — 4 arrêts — vitesse 1 m/s (F&amp;P)</t>
  </si>
  <si>
    <t>LOT 13 : ALUCOBOND</t>
  </si>
  <si>
    <t>O1</t>
  </si>
  <si>
    <t>Lot 13</t>
  </si>
  <si>
    <t>ALUCOBOND</t>
  </si>
  <si>
    <t>Panneau composite Alucobond — façade extérieure (F&amp;P)</t>
  </si>
  <si>
    <t>LOT 14 : PEINTURE</t>
  </si>
  <si>
    <t>P1</t>
  </si>
  <si>
    <t>Lot 14</t>
  </si>
  <si>
    <t>PREP_SURF</t>
  </si>
  <si>
    <t>Préparation de surface murs / plafonds</t>
  </si>
  <si>
    <t>P2</t>
  </si>
  <si>
    <t>PEINTURE</t>
  </si>
  <si>
    <t>Peinture intérieure Pantex 800 (impression + 2 couches enduit + 2 couches finition)</t>
  </si>
  <si>
    <t>TOTAL : 153 ARTICLES BPU</t>
  </si>
  <si>
    <t>Source : DQE CONSTRUCT BTP — 13082025</t>
  </si>
  <si>
    <t>MÉTRÉ — DEVIS QUANTITATIF ET ESTIMATIF (DQE)</t>
  </si>
  <si>
    <t>BÂTIMENT</t>
  </si>
  <si>
    <t>NIVEAU</t>
  </si>
  <si>
    <t>DÉSIGNATION</t>
  </si>
  <si>
    <t>QUANTITÉ</t>
  </si>
  <si>
    <t>PU (FCFA)</t>
  </si>
  <si>
    <t>PT (FCFA)</t>
  </si>
  <si>
    <t>VÉRIF</t>
  </si>
  <si>
    <t>LOT 1 : GROS ŒUVRE ET DÉMOLITION — Total : 218 723 945 FCFA</t>
  </si>
  <si>
    <t>A — Installation générale du chantier — Sous-total : 26 239 918</t>
  </si>
  <si>
    <t>A.1</t>
  </si>
  <si>
    <t>Chantier</t>
  </si>
  <si>
    <t>GLOBAL</t>
  </si>
  <si>
    <t>A.2</t>
  </si>
  <si>
    <t>A.3</t>
  </si>
  <si>
    <t>Abonnement, mensualité concessionnaires</t>
  </si>
  <si>
    <t>A.4</t>
  </si>
  <si>
    <t>Matériel de chantier (engins, manutention etc)</t>
  </si>
  <si>
    <t>A.5</t>
  </si>
  <si>
    <t>A.6</t>
  </si>
  <si>
    <t>A.7</t>
  </si>
  <si>
    <t>Ensemble des axes nécessaires</t>
  </si>
  <si>
    <t>B — Démolition — Sous-total : 6 589 500</t>
  </si>
  <si>
    <t>B.1</t>
  </si>
  <si>
    <t>Bât. Principal</t>
  </si>
  <si>
    <t>RDC</t>
  </si>
  <si>
    <t>Démolition des murs et l'escalier (RDC)</t>
  </si>
  <si>
    <t>B.2</t>
  </si>
  <si>
    <t>Bât. Annexe</t>
  </si>
  <si>
    <t>ÉTAGE 1</t>
  </si>
  <si>
    <t>Démolition des murs, escalier et dalle existante bâtiment annexe</t>
  </si>
  <si>
    <t>B.3</t>
  </si>
  <si>
    <t>ÉTAGE 2</t>
  </si>
  <si>
    <t>Démolition des murs et l'escalier (ÉTAGE 2)</t>
  </si>
  <si>
    <t>B.4</t>
  </si>
  <si>
    <t>B.5</t>
  </si>
  <si>
    <t>Décapage des carreaux sol existants en RDC</t>
  </si>
  <si>
    <t>PM</t>
  </si>
  <si>
    <t>⚠ À chiffrer</t>
  </si>
  <si>
    <t>C — Fondations — Bât. Principal — Sous-total partiel : 15 714 717</t>
  </si>
  <si>
    <t>C.1a</t>
  </si>
  <si>
    <t>FONDATION</t>
  </si>
  <si>
    <t>Semelles isolées — Béton de propreté</t>
  </si>
  <si>
    <t>C.2a</t>
  </si>
  <si>
    <t>Semelles isolées — Béton 400 hydr</t>
  </si>
  <si>
    <t>C.3a</t>
  </si>
  <si>
    <t>Semelles isolées — Coffrage</t>
  </si>
  <si>
    <t>C.4a</t>
  </si>
  <si>
    <t>Semelles isolées — Acier</t>
  </si>
  <si>
    <t>C.5a</t>
  </si>
  <si>
    <t>Amorces de poteaux — Béton 400 hydr</t>
  </si>
  <si>
    <t>C.6a</t>
  </si>
  <si>
    <t>Amorces de poteaux — Coffrage</t>
  </si>
  <si>
    <t>C.7a</t>
  </si>
  <si>
    <t>Amorces de poteaux — Acier</t>
  </si>
  <si>
    <t>C.8a</t>
  </si>
  <si>
    <t>Longrines — Béton 400 hydr</t>
  </si>
  <si>
    <t>C.9a</t>
  </si>
  <si>
    <t>Longrines — Coffrage</t>
  </si>
  <si>
    <t>C.10a</t>
  </si>
  <si>
    <t>Longrines — Acier</t>
  </si>
  <si>
    <t>C.11a</t>
  </si>
  <si>
    <t>Dallage sol — Béton</t>
  </si>
  <si>
    <t>C.12a</t>
  </si>
  <si>
    <t>Dallage sol — Coffrage</t>
  </si>
  <si>
    <t>C.13a</t>
  </si>
  <si>
    <t>Dallage sol — Acier</t>
  </si>
  <si>
    <t>C.14a</t>
  </si>
  <si>
    <t>Maçonnerie de soubassement — Agglos pleins 20×20×50</t>
  </si>
  <si>
    <t>C — Fondations — Bât. Annexe — Sous-total partiel : 8 302 943</t>
  </si>
  <si>
    <t>C.1b</t>
  </si>
  <si>
    <t>Dallage sol annexe — Béton</t>
  </si>
  <si>
    <t>C.2b</t>
  </si>
  <si>
    <t>Dallage sol annexe — Coffrage</t>
  </si>
  <si>
    <t>C.3b</t>
  </si>
  <si>
    <t>Dallage sol annexe — Acier</t>
  </si>
  <si>
    <t>D — Élévation RDC — Sous-total : 36 601 284</t>
  </si>
  <si>
    <t>D.1a</t>
  </si>
  <si>
    <t>Poteaux BA — Béton 400</t>
  </si>
  <si>
    <t>D.2a</t>
  </si>
  <si>
    <t>Poteaux BA — Coffrage</t>
  </si>
  <si>
    <t>D.3a</t>
  </si>
  <si>
    <t>Poteaux BA — Acier</t>
  </si>
  <si>
    <t>D.4a</t>
  </si>
  <si>
    <t>Poutres BA — Béton 350</t>
  </si>
  <si>
    <t>D.5a</t>
  </si>
  <si>
    <t>Poutres BA — Coffrage</t>
  </si>
  <si>
    <t>D.6a</t>
  </si>
  <si>
    <t>Poutres BA — Acier</t>
  </si>
  <si>
    <t>D.7a</t>
  </si>
  <si>
    <t>Chainages intermédiaires — Béton 350</t>
  </si>
  <si>
    <t>D.8a</t>
  </si>
  <si>
    <t>Chainages intermédiaires — Coffrage</t>
  </si>
  <si>
    <t>D.9a</t>
  </si>
  <si>
    <t>Chainages intermédiaires — Acier</t>
  </si>
  <si>
    <t>D.10a</t>
  </si>
  <si>
    <t>Linteaux BA — Béton 400</t>
  </si>
  <si>
    <t>D.11a</t>
  </si>
  <si>
    <t>Linteaux BA — Coffrage</t>
  </si>
  <si>
    <t>D.12a</t>
  </si>
  <si>
    <t>Linteaux BA — Acier</t>
  </si>
  <si>
    <t>D.13a</t>
  </si>
  <si>
    <t>Escalier BA — Béton 350</t>
  </si>
  <si>
    <t>D.14a</t>
  </si>
  <si>
    <t>Escalier BA — Coffrage</t>
  </si>
  <si>
    <t>D.15a</t>
  </si>
  <si>
    <t>Escalier BA — Acier</t>
  </si>
  <si>
    <t>D.16a</t>
  </si>
  <si>
    <t>Plancher hourdis — Béton 350</t>
  </si>
  <si>
    <t>D.17a</t>
  </si>
  <si>
    <t>Plancher hourdis — Hourdis</t>
  </si>
  <si>
    <t>D.18a</t>
  </si>
  <si>
    <t>Plancher hourdis — Coffrage</t>
  </si>
  <si>
    <t>D.19a</t>
  </si>
  <si>
    <t>Plancher hourdis — Acier</t>
  </si>
  <si>
    <t>D.20a</t>
  </si>
  <si>
    <t>Maçonnerie — Agglos creux 20×20×50</t>
  </si>
  <si>
    <t>D.21a</t>
  </si>
  <si>
    <t>D.22a</t>
  </si>
  <si>
    <t>D.23a</t>
  </si>
  <si>
    <t>Réservations et calfeutrements divers</t>
  </si>
  <si>
    <t>D.24a</t>
  </si>
  <si>
    <t>Scellements et raccordements</t>
  </si>
  <si>
    <t>D.25a</t>
  </si>
  <si>
    <t>Marches d'accès — Béton 350</t>
  </si>
  <si>
    <t>D.26a</t>
  </si>
  <si>
    <t>Marches d'accès — Coffrage</t>
  </si>
  <si>
    <t>D.1b</t>
  </si>
  <si>
    <t>D.2b</t>
  </si>
  <si>
    <t>D.3b</t>
  </si>
  <si>
    <t>D.4b</t>
  </si>
  <si>
    <t>D.5b</t>
  </si>
  <si>
    <t>Enduits int. et ext. sur murs</t>
  </si>
  <si>
    <t>D.6b</t>
  </si>
  <si>
    <t>D.7b</t>
  </si>
  <si>
    <t>Finition des tableaux</t>
  </si>
  <si>
    <t>E — Élévation Étage 1 — Sous-total : 35 645 971</t>
  </si>
  <si>
    <t>E.1a</t>
  </si>
  <si>
    <t>E.2a</t>
  </si>
  <si>
    <t>E.3a</t>
  </si>
  <si>
    <t>E.4a</t>
  </si>
  <si>
    <t>E.5a</t>
  </si>
  <si>
    <t>E.6a</t>
  </si>
  <si>
    <t>E.7a</t>
  </si>
  <si>
    <t>Linteaux — Béton 350</t>
  </si>
  <si>
    <t>E.8a</t>
  </si>
  <si>
    <t>Linteaux — Coffrage</t>
  </si>
  <si>
    <t>E.9a</t>
  </si>
  <si>
    <t>Linteaux — Acier</t>
  </si>
  <si>
    <t>E.10a</t>
  </si>
  <si>
    <t>E.11a</t>
  </si>
  <si>
    <t>E.12a</t>
  </si>
  <si>
    <t>E.13a</t>
  </si>
  <si>
    <t>E.14a</t>
  </si>
  <si>
    <t>E.15a</t>
  </si>
  <si>
    <t>E.16a</t>
  </si>
  <si>
    <t>E.17a</t>
  </si>
  <si>
    <t>Réservations et calfeutrements</t>
  </si>
  <si>
    <t>E.18a</t>
  </si>
  <si>
    <t>E.19a</t>
  </si>
  <si>
    <t>E.20a</t>
  </si>
  <si>
    <t>E.21a</t>
  </si>
  <si>
    <t>E.22a</t>
  </si>
  <si>
    <t>E.23a</t>
  </si>
  <si>
    <t>E.24a</t>
  </si>
  <si>
    <t>E.25a</t>
  </si>
  <si>
    <t>E.26a</t>
  </si>
  <si>
    <t>E.27a</t>
  </si>
  <si>
    <t>E.28a</t>
  </si>
  <si>
    <t>E.29a</t>
  </si>
  <si>
    <t>E.30a</t>
  </si>
  <si>
    <t>E.31a</t>
  </si>
  <si>
    <t>E.32a</t>
  </si>
  <si>
    <t>E.33a</t>
  </si>
  <si>
    <t>F — Élévation Étage 2 — Sous-total : 15 080 636</t>
  </si>
  <si>
    <t>F.1</t>
  </si>
  <si>
    <t>F.2</t>
  </si>
  <si>
    <t>F.3</t>
  </si>
  <si>
    <t>F.4</t>
  </si>
  <si>
    <t>F.5</t>
  </si>
  <si>
    <t>F.6</t>
  </si>
  <si>
    <t>F.7</t>
  </si>
  <si>
    <t>F.8</t>
  </si>
  <si>
    <t>F.9</t>
  </si>
  <si>
    <t>F.10</t>
  </si>
  <si>
    <t>F.11</t>
  </si>
  <si>
    <t>F.12</t>
  </si>
  <si>
    <t>F.13</t>
  </si>
  <si>
    <t>F.14</t>
  </si>
  <si>
    <t>F.15</t>
  </si>
  <si>
    <t>F.16</t>
  </si>
  <si>
    <t>F.17</t>
  </si>
  <si>
    <t>G — Élévation Duplex 1 — Sous-total : 48 980 896</t>
  </si>
  <si>
    <t>G.1</t>
  </si>
  <si>
    <t>DUPLEX 1</t>
  </si>
  <si>
    <t>G.2</t>
  </si>
  <si>
    <t>G.3</t>
  </si>
  <si>
    <t>G.4</t>
  </si>
  <si>
    <t>G.5</t>
  </si>
  <si>
    <t>G.6</t>
  </si>
  <si>
    <t>G.7</t>
  </si>
  <si>
    <t>Voile BA ascenseur — Béton 350</t>
  </si>
  <si>
    <t>G.8</t>
  </si>
  <si>
    <t>Voile BA ascenseur — Coffrage</t>
  </si>
  <si>
    <t>G.9</t>
  </si>
  <si>
    <t>Voile BA ascenseur — Acier</t>
  </si>
  <si>
    <t>G.10</t>
  </si>
  <si>
    <t>G.11</t>
  </si>
  <si>
    <t>G.12</t>
  </si>
  <si>
    <t>G.13</t>
  </si>
  <si>
    <t>G.14</t>
  </si>
  <si>
    <t>G.15</t>
  </si>
  <si>
    <t>G.16</t>
  </si>
  <si>
    <t>G.17</t>
  </si>
  <si>
    <t>G.18</t>
  </si>
  <si>
    <t>G.19</t>
  </si>
  <si>
    <t>G.20</t>
  </si>
  <si>
    <t>G.21</t>
  </si>
  <si>
    <t>G.22</t>
  </si>
  <si>
    <t>G.23</t>
  </si>
  <si>
    <t>H — Élévation Duplex 2 — Sous-total : 25 568 080</t>
  </si>
  <si>
    <t>H.1</t>
  </si>
  <si>
    <t>DUPLEX 2</t>
  </si>
  <si>
    <t>H.2</t>
  </si>
  <si>
    <t>H.3</t>
  </si>
  <si>
    <t>H.4</t>
  </si>
  <si>
    <t>H.5</t>
  </si>
  <si>
    <t>H.6</t>
  </si>
  <si>
    <t>H.7</t>
  </si>
  <si>
    <t>H.8</t>
  </si>
  <si>
    <t>H.9</t>
  </si>
  <si>
    <t>H.10</t>
  </si>
  <si>
    <t>H.11</t>
  </si>
  <si>
    <t>H.12</t>
  </si>
  <si>
    <t>H.13</t>
  </si>
  <si>
    <t>H.14</t>
  </si>
  <si>
    <t>H.15</t>
  </si>
  <si>
    <t>H.16</t>
  </si>
  <si>
    <t>LOT 2 : ÉTANCHÉITÉ — Total : 38 856 005 FCFA</t>
  </si>
  <si>
    <t>2A.1</t>
  </si>
  <si>
    <t>Locaux humides — Revêtement monocouche</t>
  </si>
  <si>
    <t>2A.2</t>
  </si>
  <si>
    <t>Locaux humides — Relevé d'étanchéité h=50cm</t>
  </si>
  <si>
    <t>2B.1</t>
  </si>
  <si>
    <t>2B.2</t>
  </si>
  <si>
    <t>2C.1</t>
  </si>
  <si>
    <t>2C.2</t>
  </si>
  <si>
    <t>2C.3</t>
  </si>
  <si>
    <t>Terrasse accessible — Forme de pente</t>
  </si>
  <si>
    <t>2C.4</t>
  </si>
  <si>
    <t>Terrasse accessible — Revêtement bicouche sous protection lourde</t>
  </si>
  <si>
    <t>2C.5</t>
  </si>
  <si>
    <t>Terrasse accessible — Relevé h=50cm</t>
  </si>
  <si>
    <t>2C.6</t>
  </si>
  <si>
    <t>Terrasse inaccessible — Forme de pente</t>
  </si>
  <si>
    <t>2C.7</t>
  </si>
  <si>
    <t>Terrasse inaccessible — Revêtement monocouche sous protection lourde</t>
  </si>
  <si>
    <t>2C.8</t>
  </si>
  <si>
    <t>Terrasse inaccessible — Relevé h=50cm</t>
  </si>
  <si>
    <t>2D.1</t>
  </si>
  <si>
    <t>2D.2</t>
  </si>
  <si>
    <t>2E.1</t>
  </si>
  <si>
    <t>TERRASSE</t>
  </si>
  <si>
    <t>2E.2</t>
  </si>
  <si>
    <t>Terrasse inaccessible — Revêtement monocouche sous protection</t>
  </si>
  <si>
    <t>2E.3</t>
  </si>
  <si>
    <t>2F.1</t>
  </si>
  <si>
    <t>Locaux humides — Revêtement bicouche</t>
  </si>
  <si>
    <t>2F.2</t>
  </si>
  <si>
    <t>2G.1</t>
  </si>
  <si>
    <t>2G.2</t>
  </si>
  <si>
    <t>Terrasse inaccessible — Revêtement bicouche sous protection</t>
  </si>
  <si>
    <t>2G.3</t>
  </si>
  <si>
    <t>LOT 3 : REVÊTEMENT DURS — Total : 152 397 863 FCFA</t>
  </si>
  <si>
    <t>3A.1</t>
  </si>
  <si>
    <t>Faïence murale granite — Vestiaires/SDB/WC/Labo/SP</t>
  </si>
  <si>
    <t>3A.2</t>
  </si>
  <si>
    <t>Granite tile SARADO Grey-Flamed 60×60</t>
  </si>
  <si>
    <t>3A.3</t>
  </si>
  <si>
    <t>Plinthe 10×60 Granite tile SARADO</t>
  </si>
  <si>
    <t>3B.1</t>
  </si>
  <si>
    <t>Faïence murale granite — SDB/WC/Buanderie</t>
  </si>
  <si>
    <t>3B.2</t>
  </si>
  <si>
    <t>3B.3</t>
  </si>
  <si>
    <t>3C.1</t>
  </si>
  <si>
    <t>3C.2</t>
  </si>
  <si>
    <t>3C.3</t>
  </si>
  <si>
    <t>3D.1</t>
  </si>
  <si>
    <t>Faïence murale granite — SDB/TV/WC</t>
  </si>
  <si>
    <t>3D.2</t>
  </si>
  <si>
    <t>3D.3</t>
  </si>
  <si>
    <t>3E.1</t>
  </si>
  <si>
    <t>Faïence murale granite — SDB</t>
  </si>
  <si>
    <t>3E.2</t>
  </si>
  <si>
    <t>3E.3</t>
  </si>
  <si>
    <t>3F.1</t>
  </si>
  <si>
    <t>Faïence murale granite — WC/Douche/Local GE</t>
  </si>
  <si>
    <t>3F.2</t>
  </si>
  <si>
    <t>Faïence murale granite — Cuisine et vaisselerie</t>
  </si>
  <si>
    <t>3F.3</t>
  </si>
  <si>
    <t>Table de travail granite</t>
  </si>
  <si>
    <t>3F.4</t>
  </si>
  <si>
    <t>3F.5</t>
  </si>
  <si>
    <t>3G.1</t>
  </si>
  <si>
    <t>Faïence murale granite — Toilettes/SAS/SDB</t>
  </si>
  <si>
    <t>3G.2</t>
  </si>
  <si>
    <t>3G.3</t>
  </si>
  <si>
    <t>LOT 10 : PLOMBERIE SANITAIRE — Total : 47 233 525 FCFA</t>
  </si>
  <si>
    <t>10A.1</t>
  </si>
  <si>
    <t>WC à l'anglaise</t>
  </si>
  <si>
    <t>10A.2</t>
  </si>
  <si>
    <t>10A.3</t>
  </si>
  <si>
    <t>Lavabo ou Vasque simple</t>
  </si>
  <si>
    <t>10A.4</t>
  </si>
  <si>
    <t>10A.5</t>
  </si>
  <si>
    <t>10A.6</t>
  </si>
  <si>
    <t>10A.7</t>
  </si>
  <si>
    <t>10B.1</t>
  </si>
  <si>
    <t>10B.2</t>
  </si>
  <si>
    <t>10B.3</t>
  </si>
  <si>
    <t>10B.4</t>
  </si>
  <si>
    <t>10B.5</t>
  </si>
  <si>
    <t>10B.6</t>
  </si>
  <si>
    <t>10B.7</t>
  </si>
  <si>
    <t>10B.8</t>
  </si>
  <si>
    <t>10B.9</t>
  </si>
  <si>
    <t>10C.1</t>
  </si>
  <si>
    <t>10C.2</t>
  </si>
  <si>
    <t>10C.3</t>
  </si>
  <si>
    <t>10C.4</t>
  </si>
  <si>
    <t>10D.1</t>
  </si>
  <si>
    <t>10D.2</t>
  </si>
  <si>
    <t>10D.3</t>
  </si>
  <si>
    <t>10D.4</t>
  </si>
  <si>
    <t>10D.5</t>
  </si>
  <si>
    <t>Collecteurs à robinetterie intégrée EF+EC</t>
  </si>
  <si>
    <t>10E.1</t>
  </si>
  <si>
    <t>10E.2</t>
  </si>
  <si>
    <t>Raccordement bâches à eau</t>
  </si>
  <si>
    <t>10F.1</t>
  </si>
  <si>
    <t>10F.2</t>
  </si>
  <si>
    <t>10F.3</t>
  </si>
  <si>
    <t>Ensemble vanne, compteur, clapet anti-retour</t>
  </si>
  <si>
    <t>10G.1</t>
  </si>
  <si>
    <t>Caisson VMC 1</t>
  </si>
  <si>
    <t>10G.2</t>
  </si>
  <si>
    <t>Caisson VMC 2</t>
  </si>
  <si>
    <t>10G.3</t>
  </si>
  <si>
    <t>Bouche d'extraction Alizé S type 1</t>
  </si>
  <si>
    <t>10G.4</t>
  </si>
  <si>
    <t>Bouche d'extraction Alizé S type 2</t>
  </si>
  <si>
    <t>10G.5</t>
  </si>
  <si>
    <t>Conduit spiralé acier galva D125</t>
  </si>
  <si>
    <t>10G.6</t>
  </si>
  <si>
    <t>Conduit spiralé acier galva D160</t>
  </si>
  <si>
    <t>10G.7</t>
  </si>
  <si>
    <t>Conduit spiralé acier galva D200</t>
  </si>
  <si>
    <t>LOT 14 : PEINTURE — Total : 52 589 814 FCFA</t>
  </si>
  <si>
    <t>14A.1</t>
  </si>
  <si>
    <t>Préparation de surface — murs RDC</t>
  </si>
  <si>
    <t>14A.2</t>
  </si>
  <si>
    <t>Peinture intérieure Pantex 800 — murs RDC</t>
  </si>
  <si>
    <t>14A.3</t>
  </si>
  <si>
    <t>Préparation de surface — plafonds RDC</t>
  </si>
  <si>
    <t>14A.4</t>
  </si>
  <si>
    <t>Peinture intérieure Pantex 800 — plafonds RDC</t>
  </si>
  <si>
    <t>14B.1</t>
  </si>
  <si>
    <t>Préparation de surface — murs Étage 1</t>
  </si>
  <si>
    <t>14B.2</t>
  </si>
  <si>
    <t>Peinture intérieure Pantex 800 — murs Étage 1</t>
  </si>
  <si>
    <t>14B.3</t>
  </si>
  <si>
    <t>Préparation de surface — plafonds Étage 1</t>
  </si>
  <si>
    <t>14B.4</t>
  </si>
  <si>
    <t>Peinture intérieure Pantex 800 — plafonds Étage 1</t>
  </si>
  <si>
    <t>14C.1</t>
  </si>
  <si>
    <t>Préparation de surface — murs Étage 2</t>
  </si>
  <si>
    <t>14C.2</t>
  </si>
  <si>
    <t>Peinture intérieure Pantex 800 — murs Étage 2</t>
  </si>
  <si>
    <t>14C.3</t>
  </si>
  <si>
    <t>Préparation de surface — plafonds Étage 2</t>
  </si>
  <si>
    <t>14C.4</t>
  </si>
  <si>
    <t>Peinture intérieure Pantex 800 — plafonds Étage 2</t>
  </si>
  <si>
    <t>14D.1</t>
  </si>
  <si>
    <t>Préparation de surface — murs Duplex 1</t>
  </si>
  <si>
    <t>14D.2</t>
  </si>
  <si>
    <t>Peinture intérieure Pantex 800 — murs Duplex 1</t>
  </si>
  <si>
    <t>14D.3</t>
  </si>
  <si>
    <t>Préparation de surface — plafonds Duplex 1</t>
  </si>
  <si>
    <t>14D.4</t>
  </si>
  <si>
    <t>Peinture intérieure Pantex 800 — plafonds Duplex 1</t>
  </si>
  <si>
    <t>14E.1</t>
  </si>
  <si>
    <t>Préparation de surface — murs Duplex 2</t>
  </si>
  <si>
    <t>14E.2</t>
  </si>
  <si>
    <t>Peinture intérieure Pantex 800 — murs Duplex 2</t>
  </si>
  <si>
    <t>14E.3</t>
  </si>
  <si>
    <t>Préparation de surface — plafonds Duplex 2</t>
  </si>
  <si>
    <t>14E.4</t>
  </si>
  <si>
    <t>Peinture intérieure Pantex 800 — plafonds Duplex 2</t>
  </si>
  <si>
    <t>LOT 4 : MENUISERIE ALUMINIUM ET VITRERIE — Total : 109 091 760 FCFA</t>
  </si>
  <si>
    <t>A — Bât. Principal — RDC — Sous-total : 19 765 740</t>
  </si>
  <si>
    <t>4A.1</t>
  </si>
  <si>
    <t>Baie vitrée alu 220×527</t>
  </si>
  <si>
    <t>4A.2</t>
  </si>
  <si>
    <t>Baie vitrée alu 220×242</t>
  </si>
  <si>
    <t>4A.3</t>
  </si>
  <si>
    <t>Baie vitrée alu 120×200</t>
  </si>
  <si>
    <t>4A.4</t>
  </si>
  <si>
    <t>Baie vitrée alu 120×140</t>
  </si>
  <si>
    <t>4A.5</t>
  </si>
  <si>
    <t>Baie vitrée alu 120×160</t>
  </si>
  <si>
    <t>4A.6</t>
  </si>
  <si>
    <t>Baie vitrée alu 100×120</t>
  </si>
  <si>
    <t>4A.7</t>
  </si>
  <si>
    <t>Baie vitrée alu 60×60</t>
  </si>
  <si>
    <t>4A.8</t>
  </si>
  <si>
    <t>Porte alu 220×245</t>
  </si>
  <si>
    <t>4A.9</t>
  </si>
  <si>
    <t>Porte alu 220×150</t>
  </si>
  <si>
    <t>4A.10</t>
  </si>
  <si>
    <t>Porte alu 220×120</t>
  </si>
  <si>
    <t>4A.11</t>
  </si>
  <si>
    <t>Porte alu 220×90</t>
  </si>
  <si>
    <t>4A.12</t>
  </si>
  <si>
    <t>Porte alu 220×80</t>
  </si>
  <si>
    <t>B — Bât. Principal — Étage 1 — Sous-total : 23 799 480</t>
  </si>
  <si>
    <t>4B.1</t>
  </si>
  <si>
    <t>Baie vitrée alu 120×120</t>
  </si>
  <si>
    <t>4B.2</t>
  </si>
  <si>
    <t>Baie vitrée alu 298×300</t>
  </si>
  <si>
    <t>4B.3</t>
  </si>
  <si>
    <t>Baie vitrée alu 180×220</t>
  </si>
  <si>
    <t>4B.4</t>
  </si>
  <si>
    <t>4B.5</t>
  </si>
  <si>
    <t>4B.6</t>
  </si>
  <si>
    <t>4B.7</t>
  </si>
  <si>
    <t>Garde corps alu</t>
  </si>
  <si>
    <t>4B.8</t>
  </si>
  <si>
    <t>Porte alu 220×250</t>
  </si>
  <si>
    <t>4B.9</t>
  </si>
  <si>
    <t>4B.10</t>
  </si>
  <si>
    <t>C — Bât. Principal — Étage 2 — Sous-total : 25 284 360</t>
  </si>
  <si>
    <t>4C.1</t>
  </si>
  <si>
    <t>Baie vitrée alu 150×120</t>
  </si>
  <si>
    <t>4C.2</t>
  </si>
  <si>
    <t>4C.3</t>
  </si>
  <si>
    <t>4C.4</t>
  </si>
  <si>
    <t>4C.5</t>
  </si>
  <si>
    <t>4C.6</t>
  </si>
  <si>
    <t>4C.7</t>
  </si>
  <si>
    <t>4C.8</t>
  </si>
  <si>
    <t>4C.9</t>
  </si>
  <si>
    <t>4C.10</t>
  </si>
  <si>
    <t>D — Bât. Principal — Duplex 1 — Sous-total : 13 576 440</t>
  </si>
  <si>
    <t>4D.1</t>
  </si>
  <si>
    <t>Baie vitrée alu 200×120</t>
  </si>
  <si>
    <t>4D.2</t>
  </si>
  <si>
    <t>Baie vitrée alu 300×220</t>
  </si>
  <si>
    <t>4D.3</t>
  </si>
  <si>
    <t>4D.4</t>
  </si>
  <si>
    <t>4D.5</t>
  </si>
  <si>
    <t>4D.6</t>
  </si>
  <si>
    <t>4D.7</t>
  </si>
  <si>
    <t>4D.8</t>
  </si>
  <si>
    <t>Porte alu 220×90 (QTE=0)</t>
  </si>
  <si>
    <t>4D.9</t>
  </si>
  <si>
    <t>Porte alu 220×80 (QTE=0)</t>
  </si>
  <si>
    <t>E — Bât. Principal — Duplex 2 — Sous-total : 8 843 040</t>
  </si>
  <si>
    <t>4E.1</t>
  </si>
  <si>
    <t>4E.2</t>
  </si>
  <si>
    <t>4E.3</t>
  </si>
  <si>
    <t>4E.4</t>
  </si>
  <si>
    <t>4E.5</t>
  </si>
  <si>
    <t>4E.6</t>
  </si>
  <si>
    <t>4E.7</t>
  </si>
  <si>
    <t>4E.8</t>
  </si>
  <si>
    <t>4E.9</t>
  </si>
  <si>
    <t>F — Bât. Annexe — RDC — Sous-total : 3 659 760</t>
  </si>
  <si>
    <t>4F.1</t>
  </si>
  <si>
    <t>4F.2</t>
  </si>
  <si>
    <t>Baie vitrée alu 80×120</t>
  </si>
  <si>
    <t>4F.3</t>
  </si>
  <si>
    <t>4F.4</t>
  </si>
  <si>
    <t>4F.5</t>
  </si>
  <si>
    <t>4F.6</t>
  </si>
  <si>
    <t>G — Bât. Annexe — Étage 1 — Sous-total : 14 162 940</t>
  </si>
  <si>
    <t>4G.1</t>
  </si>
  <si>
    <t>Baie vitrée alu 160×120</t>
  </si>
  <si>
    <t>4G.2</t>
  </si>
  <si>
    <t>Baie vitrée alu 404×220</t>
  </si>
  <si>
    <t>4G.3</t>
  </si>
  <si>
    <t>Baie vitrée alu 567×220</t>
  </si>
  <si>
    <t>4G.4</t>
  </si>
  <si>
    <t>Baie vitrée alu 561×220</t>
  </si>
  <si>
    <t>4G.5</t>
  </si>
  <si>
    <t>4G.6</t>
  </si>
  <si>
    <t>4G.7</t>
  </si>
  <si>
    <t>4G.8</t>
  </si>
  <si>
    <t>LOT 5 : MENUISERIE MÉTALLIQUE ET FERRONNERIE — Total : 11 614 655 FCFA</t>
  </si>
  <si>
    <t>A — Local GE — Sous-total : 575 000</t>
  </si>
  <si>
    <t>5A.1</t>
  </si>
  <si>
    <t>Porte métallique du local GE</t>
  </si>
  <si>
    <t>5A.2</t>
  </si>
  <si>
    <t>Grille de protection du local GE</t>
  </si>
  <si>
    <t>B — Mezzanine laboratoire — Sous-total : 11 039 655</t>
  </si>
  <si>
    <t>5B.1</t>
  </si>
  <si>
    <t>Plateforme métallique mezzanine avec parquet bois</t>
  </si>
  <si>
    <t>5B.2</t>
  </si>
  <si>
    <t>Escalier métallique laboratoire avec habillage marches bois</t>
  </si>
  <si>
    <t>5B.3</t>
  </si>
  <si>
    <t>Garde corps métallique mezzanine</t>
  </si>
  <si>
    <t>5B.4</t>
  </si>
  <si>
    <t>LOT 6 : MENUISERIE BOIS — Total : 24 456 360 FCFA</t>
  </si>
  <si>
    <t>A — Bât. Principal — Étage 1 — Placards — Sous-total : 4 570 560</t>
  </si>
  <si>
    <t>6A.1</t>
  </si>
  <si>
    <t>Placard PL 275×200 ouvrant à la française</t>
  </si>
  <si>
    <t>6A.2</t>
  </si>
  <si>
    <t>Placard PL 315×200 ouvrant à la française</t>
  </si>
  <si>
    <t>6A.3</t>
  </si>
  <si>
    <t>Placard PL 215×200 ouvrant à la française</t>
  </si>
  <si>
    <t>6A.4</t>
  </si>
  <si>
    <t>Placard PL 227×200 ouvrant à la française</t>
  </si>
  <si>
    <t>6A.5</t>
  </si>
  <si>
    <t>Placard PL 299×200 ouvrant à la française</t>
  </si>
  <si>
    <t>6A.6</t>
  </si>
  <si>
    <t>Placard PL 325×200 ouvrant à la française</t>
  </si>
  <si>
    <t>B — Bât. Principal — Duplex 1 — Sous-total : 9 656 550</t>
  </si>
  <si>
    <t>6B.1</t>
  </si>
  <si>
    <t>6B.2</t>
  </si>
  <si>
    <t>6B.3</t>
  </si>
  <si>
    <t>Placard PL 302×250 ouvrant à la française</t>
  </si>
  <si>
    <t>6B.4</t>
  </si>
  <si>
    <t>Placard PL 180×250 ouvrant à la française</t>
  </si>
  <si>
    <t>6B.5</t>
  </si>
  <si>
    <t>6B.6</t>
  </si>
  <si>
    <t>C — Bât. Principal — Duplex 2 — Sous-total : 6 389 400</t>
  </si>
  <si>
    <t>6C.1</t>
  </si>
  <si>
    <t>6C.2</t>
  </si>
  <si>
    <t>6C.3</t>
  </si>
  <si>
    <t>Placard PL 300×250 ouvrant à la française</t>
  </si>
  <si>
    <t>6C.4</t>
  </si>
  <si>
    <t>Placard PL 230×250 ouvrant à la française</t>
  </si>
  <si>
    <t>D — Bât. Annexe — RDC — Étagères cuisine/vaisselerie — Sous-total : 3 839 850</t>
  </si>
  <si>
    <t>6D.1</t>
  </si>
  <si>
    <t>6D.2</t>
  </si>
  <si>
    <t>6D.3</t>
  </si>
  <si>
    <t>6D.4</t>
  </si>
  <si>
    <t>LOT 7 : ÉLECTRICITÉ — Total : 175 755 050 FCFA</t>
  </si>
  <si>
    <t>A — Appareils d'éclairage normal — Sous-total : 15 481 300</t>
  </si>
  <si>
    <t>7A.1</t>
  </si>
  <si>
    <t>7A.2</t>
  </si>
  <si>
    <t>7A.3</t>
  </si>
  <si>
    <t>7A.4</t>
  </si>
  <si>
    <t>7A.5</t>
  </si>
  <si>
    <t>7A.6</t>
  </si>
  <si>
    <t>7A.7</t>
  </si>
  <si>
    <t>7A.8</t>
  </si>
  <si>
    <t>7A.9</t>
  </si>
  <si>
    <t>7A.10</t>
  </si>
  <si>
    <t>7A.11</t>
  </si>
  <si>
    <t>B — Éclairage de balisage — Sous-total : 7 583 100</t>
  </si>
  <si>
    <t>7B.1</t>
  </si>
  <si>
    <t>BAES Ambiance LEGRAND autonomie 1h</t>
  </si>
  <si>
    <t>7B.2</t>
  </si>
  <si>
    <t>BAES Direction LEGRAND autonomie 1h</t>
  </si>
  <si>
    <t>C — Commandes et prises — Sous-total : 10 535 150</t>
  </si>
  <si>
    <t>7C.1</t>
  </si>
  <si>
    <t>7C.2</t>
  </si>
  <si>
    <t>7C.3</t>
  </si>
  <si>
    <t>7C.4</t>
  </si>
  <si>
    <t>7C.5</t>
  </si>
  <si>
    <t>7C.6</t>
  </si>
  <si>
    <t>7C.7</t>
  </si>
  <si>
    <t>7C.8</t>
  </si>
  <si>
    <t>7C.9</t>
  </si>
  <si>
    <t>7C.10</t>
  </si>
  <si>
    <t>7C.11</t>
  </si>
  <si>
    <t>D — Câbles, fils et fourreaux — Sous-total : 84 828 000</t>
  </si>
  <si>
    <t>7D.1</t>
  </si>
  <si>
    <t>7D.2</t>
  </si>
  <si>
    <t>7D.3</t>
  </si>
  <si>
    <t>7D.4</t>
  </si>
  <si>
    <t>7D.5</t>
  </si>
  <si>
    <t>7D.6</t>
  </si>
  <si>
    <t>Gaine TPC de 110 rouleau de 25M</t>
  </si>
  <si>
    <t>7D.7</t>
  </si>
  <si>
    <t>7D.8</t>
  </si>
  <si>
    <t>7D.9</t>
  </si>
  <si>
    <t>7D.10</t>
  </si>
  <si>
    <t>7D.11</t>
  </si>
  <si>
    <t>7D.12</t>
  </si>
  <si>
    <t>7D.13</t>
  </si>
  <si>
    <t>Boitier carré Batibox</t>
  </si>
  <si>
    <t>7D.14</t>
  </si>
  <si>
    <t>Boîte de dérivation Plexo 105×105</t>
  </si>
  <si>
    <t>7D.15</t>
  </si>
  <si>
    <t>Boîte de dérivation Plexo 180×110</t>
  </si>
  <si>
    <t>7D.16</t>
  </si>
  <si>
    <t>Console CDC 500 galva (10 pcs/pqt)</t>
  </si>
  <si>
    <t>7D.17</t>
  </si>
  <si>
    <t>Console CDC 300 galva (10 pcs/pqt)</t>
  </si>
  <si>
    <t>7D.18</t>
  </si>
  <si>
    <t>Console CDC 200 galva (10 pcs/pqt)</t>
  </si>
  <si>
    <t>7D.19</t>
  </si>
  <si>
    <t>Console CDC 100 galva (10 pcs/pqt)</t>
  </si>
  <si>
    <t>7D.20</t>
  </si>
  <si>
    <t>7D.21</t>
  </si>
  <si>
    <t>7D.22</t>
  </si>
  <si>
    <t>Gaine TPC de 110 rouleau de 25M (U)</t>
  </si>
  <si>
    <t>7D.23</t>
  </si>
  <si>
    <t>7D.24</t>
  </si>
  <si>
    <t>Ensemble accessoires de pose et raccordement</t>
  </si>
  <si>
    <t>7D.25</t>
  </si>
  <si>
    <t>Ensemble prises de terre et liaisons équipotentielles</t>
  </si>
  <si>
    <t>E — Tableaux et coffrets — Sous-total : 21 079 500</t>
  </si>
  <si>
    <t>7E.1</t>
  </si>
  <si>
    <t>TGBT précâblé avec toutes sujétions</t>
  </si>
  <si>
    <t>7E.2</t>
  </si>
  <si>
    <t>Table de distribution courant normal</t>
  </si>
  <si>
    <t>7E.3</t>
  </si>
  <si>
    <t>TGDO précâblé avec toutes sujétions</t>
  </si>
  <si>
    <t>7E.4</t>
  </si>
  <si>
    <t>Table de distribution courant ondulé</t>
  </si>
  <si>
    <t>F — Équipements de secours — Sous-total : 17 250 000</t>
  </si>
  <si>
    <t>7F.1</t>
  </si>
  <si>
    <t>G — Centrale solaire — Sous-total : 18 998 000</t>
  </si>
  <si>
    <t>7G.1</t>
  </si>
  <si>
    <t>7G.2</t>
  </si>
  <si>
    <t>7G.3</t>
  </si>
  <si>
    <t>7G.4</t>
  </si>
  <si>
    <t>Accessoires, raccordement, essai et mise en service</t>
  </si>
  <si>
    <t>Forfait</t>
  </si>
  <si>
    <t>LOT 8 : CLIMATISATION — Total : 68 459 500 FCFA</t>
  </si>
  <si>
    <t>A — Unités extérieures VRV — Sous-total : 13 800 000</t>
  </si>
  <si>
    <t>8A.1</t>
  </si>
  <si>
    <t>B — Unités intérieures VRV — Sous-total : 26 450 000</t>
  </si>
  <si>
    <t>8B.1</t>
  </si>
  <si>
    <t>8B.2</t>
  </si>
  <si>
    <t>8B.3</t>
  </si>
  <si>
    <t>C — Autres équipements VRV — Sous-total : 28 209 500</t>
  </si>
  <si>
    <t>8C.1</t>
  </si>
  <si>
    <t>Kit de raccordement REFNET</t>
  </si>
  <si>
    <t>8C.2</t>
  </si>
  <si>
    <t>8C.3</t>
  </si>
  <si>
    <t>Raccordements frigorifiques</t>
  </si>
  <si>
    <t>8C.4</t>
  </si>
  <si>
    <t>Raccordements électriques et liaisons de communication</t>
  </si>
  <si>
    <t>8C.5</t>
  </si>
  <si>
    <t>Évacuation des condensats</t>
  </si>
  <si>
    <t>8C.6</t>
  </si>
  <si>
    <t>Gaine de soufflage et de reprise laine de verre / acier galva</t>
  </si>
  <si>
    <t>8C.7</t>
  </si>
  <si>
    <t>8C.8</t>
  </si>
  <si>
    <t>8C.9</t>
  </si>
  <si>
    <t>LOT 9 : SÉCURITÉ INCENDIE ET VIDÉO SURVEILLANCE — Total : 18 079 150 FCFA</t>
  </si>
  <si>
    <t>A — Sécurité incendie — Sous-total : 10 323 550</t>
  </si>
  <si>
    <t>9A.1</t>
  </si>
  <si>
    <t>9A.2</t>
  </si>
  <si>
    <t>9A.3</t>
  </si>
  <si>
    <t>9A.4</t>
  </si>
  <si>
    <t>Indicateur d'action</t>
  </si>
  <si>
    <t>9A.5</t>
  </si>
  <si>
    <t>9A.6</t>
  </si>
  <si>
    <t>Déclencheur autonome avertisseur de fumée</t>
  </si>
  <si>
    <t>9A.7</t>
  </si>
  <si>
    <t>Central sécurité incendie et alarme adressable</t>
  </si>
  <si>
    <t>9A.8</t>
  </si>
  <si>
    <t>Plan d'intervention (Réception)</t>
  </si>
  <si>
    <t>9A.9</t>
  </si>
  <si>
    <t>Diffuseur alarme général 105dB</t>
  </si>
  <si>
    <t>9A.10</t>
  </si>
  <si>
    <t>9A.11</t>
  </si>
  <si>
    <t>9A.12</t>
  </si>
  <si>
    <t>9A.13</t>
  </si>
  <si>
    <t>Plaque d'identification extincteurs</t>
  </si>
  <si>
    <t>9A.14</t>
  </si>
  <si>
    <t>Câble non propagateur flamme SYT type C2 (détecteurs)</t>
  </si>
  <si>
    <t>9A.15</t>
  </si>
  <si>
    <t>Câble résistant au feu CR1-C1 (diffuseurs sonores)</t>
  </si>
  <si>
    <t>9A.16</t>
  </si>
  <si>
    <t>Accessoires de pose et de raccordement</t>
  </si>
  <si>
    <t>B — Vidéo surveillance — Sous-total : 5 455 600</t>
  </si>
  <si>
    <t>9B.1</t>
  </si>
  <si>
    <t>9B.2</t>
  </si>
  <si>
    <t>9B.3</t>
  </si>
  <si>
    <t>9B.4</t>
  </si>
  <si>
    <t>9B.5</t>
  </si>
  <si>
    <t>Câblage système et accessoires divers</t>
  </si>
  <si>
    <t>C — Contrôle d'accès — Sous-total : 2 300 000</t>
  </si>
  <si>
    <t>9C.1</t>
  </si>
  <si>
    <t>LOT 11 : FAUX PLAFOND ET CLOISONS BA13 — Total : 27 520 144 FCFA</t>
  </si>
  <si>
    <t>A — Bât. Principal — RDC — Sous-total : 14 785 550</t>
  </si>
  <si>
    <t>11A.1</t>
  </si>
  <si>
    <t>B — Bât. Principal — Étage 1 — Cloisons — Sous-total : 2 374 934</t>
  </si>
  <si>
    <t>11B.1</t>
  </si>
  <si>
    <t>C — Bât. Principal — Duplex 1 — Sous-total : 5 179 830</t>
  </si>
  <si>
    <t>11C.1</t>
  </si>
  <si>
    <t>11C.2</t>
  </si>
  <si>
    <t>D — Bât. Principal — Duplex 2 — Sous-total : 5 179 830</t>
  </si>
  <si>
    <t>11D.1</t>
  </si>
  <si>
    <t>11D.2</t>
  </si>
  <si>
    <t>LOT 12 : ASCENSEUR — Total : 25 300 000 FCFA</t>
  </si>
  <si>
    <t>12A.1</t>
  </si>
  <si>
    <t>Ascenseur 630 kg — 4 arrêts — vitesse 1 m/s (fourni et posé)</t>
  </si>
  <si>
    <t>LOT 13 : ALUCOBOND — Total : 159 589 381 FCFA</t>
  </si>
  <si>
    <t>A — Bât. Principal — Façade — Sous-total : 142 099 750</t>
  </si>
  <si>
    <t>13A.1</t>
  </si>
  <si>
    <t>FACADE</t>
  </si>
  <si>
    <t>Panneaux composites Alucobond — façade extérieure Bât. Principal</t>
  </si>
  <si>
    <t>B — Bât. Annexe — Façade — Sous-total : 17 489 631</t>
  </si>
  <si>
    <t>13B.1</t>
  </si>
  <si>
    <t>Panneaux composites Alucobond — façade extérieure Bât. Annexe</t>
  </si>
  <si>
    <t>TOTAL GÉNÉRAL DQE (FCFA HT)</t>
  </si>
  <si>
    <t>✓ VALIDÉ</t>
  </si>
  <si>
    <t>RÉCAPITULATIF PAR LOT — DQE CENTRE MÉDICAL POINTE NOIRE</t>
  </si>
  <si>
    <t>CONSTRUCT BTP — DEVIS Nº13082025 — 13 Août 2025</t>
  </si>
  <si>
    <t>DÉSIGNATION DU LOT</t>
  </si>
  <si>
    <t>MONTANT HT (FCFA)</t>
  </si>
  <si>
    <t>% DU TOTAL</t>
  </si>
  <si>
    <t>CUMUL (FCFA)</t>
  </si>
  <si>
    <t>STATUT AUDIT</t>
  </si>
  <si>
    <t>Gros Œuvre et Démolition</t>
  </si>
  <si>
    <t>✓ Vérifié</t>
  </si>
  <si>
    <t>Étanchéité</t>
  </si>
  <si>
    <t>Revêtement Durs</t>
  </si>
  <si>
    <t>Menuiserie Aluminium et Vitrerie</t>
  </si>
  <si>
    <t>Menuiserie Métallique et Ferronnerie</t>
  </si>
  <si>
    <t>Menuiserie Bois</t>
  </si>
  <si>
    <t>Électricité</t>
  </si>
  <si>
    <t>Climatisation</t>
  </si>
  <si>
    <t>Sécurité Incendie et Vidéo Surveillance</t>
  </si>
  <si>
    <t>Plomberie Sanitaire</t>
  </si>
  <si>
    <t>Faux Plafond et Cloisons BA13</t>
  </si>
  <si>
    <t>Ascenseur</t>
  </si>
  <si>
    <t>Alucobond</t>
  </si>
  <si>
    <t>Peinture</t>
  </si>
  <si>
    <t>TOTAL HT</t>
  </si>
  <si>
    <t>100%</t>
  </si>
  <si>
    <t>✓ 14/14 OK</t>
  </si>
  <si>
    <t>Arrêté le présent devis à la somme de : UN MILLIARD CENT VINGT-NEUF MILLIONS SIX CENT SOIXANTE-SEPT MILLE CENT CINQUANTE-DEUX FRANCS CFA</t>
  </si>
  <si>
    <t>ANALYSE SPATIALE — RÉPARTITION PAR BÂTIMENT ET NIVEAU</t>
  </si>
  <si>
    <t>PROJET DE CONSTRUCTION D'UN CENTRE MÉDICAL À POINTE NOIRE — CONSTRUCT BTP — TOTAL HT : 1 129 667 152 FCFA</t>
  </si>
  <si>
    <t>1. RÉPARTITION PAR BÂTIMENT</t>
  </si>
  <si>
    <t>DESCRIPTION</t>
  </si>
  <si>
    <t>COMMENTAIRE</t>
  </si>
  <si>
    <t>Bâtiment Principal</t>
  </si>
  <si>
    <t>Structure principale R+4 (RDC+Étage 1+Étage 2+Duplex 1+Duplex 2)</t>
  </si>
  <si>
    <t>75.3%</t>
  </si>
  <si>
    <t>RDC, Étage 1, Étage 2, Duplex 1, Duplex 2 + Façade Alucobond</t>
  </si>
  <si>
    <t>Bâtiment Annexe</t>
  </si>
  <si>
    <t>Structure annexe R+1 (RDC+Étage 1)</t>
  </si>
  <si>
    <t>12.4%</t>
  </si>
  <si>
    <t>RDC Cuisine/Labo + Étage 1 + Façade Alucobond</t>
  </si>
  <si>
    <t>Installation Chantier</t>
  </si>
  <si>
    <t>Frais généraux de chantier</t>
  </si>
  <si>
    <t>2.3%</t>
  </si>
  <si>
    <t>Mobilisation, bureaux, études, piquetage</t>
  </si>
  <si>
    <t>Lots Transversaux</t>
  </si>
  <si>
    <t>Lots non décomposés par bâtiment (Élec., Clim., Plomb., Sécu., Ascenseur)</t>
  </si>
  <si>
    <t>9.9%</t>
  </si>
  <si>
    <t>Électricité, Clim, Plomberie, Sécurité, Ascenseur — global</t>
  </si>
  <si>
    <t>TOTAL</t>
  </si>
  <si>
    <t>2. LOT 1 — GROS ŒUVRE : DÉCOMPOSITION PAR BÂTIMENT ET NIVEAU</t>
  </si>
  <si>
    <t>SECTION</t>
  </si>
  <si>
    <t>MONTANT (FCFA)</t>
  </si>
  <si>
    <t>% LOT 1</t>
  </si>
  <si>
    <t>A</t>
  </si>
  <si>
    <t>Installation générale du chantier</t>
  </si>
  <si>
    <t>12.0%</t>
  </si>
  <si>
    <t>B</t>
  </si>
  <si>
    <t>Bâts. Principal+Annexe</t>
  </si>
  <si>
    <t>Démolition</t>
  </si>
  <si>
    <t>3.0%</t>
  </si>
  <si>
    <t>C</t>
  </si>
  <si>
    <t>Fondations Bât. Principal</t>
  </si>
  <si>
    <t>7.2%</t>
  </si>
  <si>
    <t>Fondations Bât. Annexe</t>
  </si>
  <si>
    <t>3.8%</t>
  </si>
  <si>
    <t>D</t>
  </si>
  <si>
    <t>Élévation RDC Bât. Principal (Poteaux/Poutres/Chainages/Maçonnerie/Enduits)</t>
  </si>
  <si>
    <t>16.7%</t>
  </si>
  <si>
    <t>E</t>
  </si>
  <si>
    <t>Bât. Principal+Annexe</t>
  </si>
  <si>
    <t>Élévation Étage 1 (Principal + Annexe)</t>
  </si>
  <si>
    <t>16.3%</t>
  </si>
  <si>
    <t>F</t>
  </si>
  <si>
    <t>Élévation Étage 2 Bât. Principal</t>
  </si>
  <si>
    <t>6.9%</t>
  </si>
  <si>
    <t>G</t>
  </si>
  <si>
    <t>Élévation Duplex 1 Bât. Principal</t>
  </si>
  <si>
    <t>22.4%</t>
  </si>
  <si>
    <t>H</t>
  </si>
  <si>
    <t>Élévation Duplex 2 Bât. Principal</t>
  </si>
  <si>
    <t>11.7%</t>
  </si>
  <si>
    <t>TOTAL LOT 1 — GROS ŒUVRE ET DÉMOLITION</t>
  </si>
  <si>
    <t>✓ OK</t>
  </si>
  <si>
    <t>3. LOT 2 — ÉTANCHÉITÉ : DÉCOMPOSITION PAR NIVEAU</t>
  </si>
  <si>
    <t>% LOT 2</t>
  </si>
  <si>
    <t>Locaux humides — Monocouche + Relevés</t>
  </si>
  <si>
    <t>8.9%</t>
  </si>
  <si>
    <t>8.0%</t>
  </si>
  <si>
    <t>Locaux humides + Terrasses (accessible+inaccessible)</t>
  </si>
  <si>
    <t>47.2%</t>
  </si>
  <si>
    <t>4.5%</t>
  </si>
  <si>
    <t>Terrasse inaccessible + Relevés</t>
  </si>
  <si>
    <t>6.5%</t>
  </si>
  <si>
    <t>Locaux humides — Bicouche + Relevés</t>
  </si>
  <si>
    <t>Terrasse inaccessible — Bicouche sous protection</t>
  </si>
  <si>
    <t>19.5%</t>
  </si>
  <si>
    <t>TOTAL LOT 2 — ÉTANCHÉITÉ</t>
  </si>
  <si>
    <t>4. ANOMALIES AUDIT — ACTIONS PRIORITAIRES</t>
  </si>
  <si>
    <t>PRIORITÉ</t>
  </si>
  <si>
    <t>ARTICLE</t>
  </si>
  <si>
    <t>ANOMALIE</t>
  </si>
  <si>
    <t>IMPACT (FCFA)</t>
  </si>
  <si>
    <t>ACTION</t>
  </si>
  <si>
    <t>🔴 HAUTE</t>
  </si>
  <si>
    <t>Granite SARADO Grey-Flamed 60×60 — RDC (x2)</t>
  </si>
  <si>
    <t>Doublon probable : 2 occurrences identiques (559m² × 33 925 FCFA)</t>
  </si>
  <si>
    <t>Vérifier avec métreur/plans : double comptage ou 2 zones distinctes ?</t>
  </si>
  <si>
    <t>🟡 MOYENNE</t>
  </si>
  <si>
    <t>Décapage carreaux sol existants RDC</t>
  </si>
  <si>
    <t>Article PM : montant non chiffré (460 m² × 5 750 FCFA)</t>
  </si>
  <si>
    <t>Confirmer si PM intentionnel ou intégrer au total Lot 1</t>
  </si>
  <si>
    <t>🟢 FAIBLE</t>
  </si>
  <si>
    <t>Baie vitrée alu 220×90 — Duplex 1</t>
  </si>
  <si>
    <t>QTE = 0 avec PU renseigné (138 000 FCFA/m²)</t>
  </si>
  <si>
    <t>—</t>
  </si>
  <si>
    <t>Confirmer avec plans architecturaux si absence intentionnelle</t>
  </si>
  <si>
    <t>Baie vitrée alu 220×80 — Duplex 1</t>
  </si>
  <si>
    <t>ℹ️ INFO</t>
  </si>
  <si>
    <t>Béton dosé 350 kg/m³ et 400 kg/m³</t>
  </si>
  <si>
    <t>PU identique (189 175 FCFA/m³) pour deux dosages différents</t>
  </si>
  <si>
    <t>Vérifier BPU : béton 400 normalement plus coûteux que béton 350</t>
  </si>
  <si>
    <t>Menuiserie aluminium — tous formats</t>
  </si>
  <si>
    <t>PU uniforme 138 000 FCFA/m² pour 20+ formats (0.36 m² à 12.47 m²)</t>
  </si>
  <si>
    <t>Vérifier BPU : tarification dégressive habituelle selon la surface</t>
  </si>
  <si>
    <t>Score d'audit DQE : 85% — BONNE QUALITÉ GLOBALE  |  1 doublon critique à confirmer (+18,96M FCFA impact potentiel)  |  Source : CONSTRUCT BTP — DEVIS Nº13082025 — 13 Août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</si>
</sst>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1B2A4A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B2A4A"/>
      <name val="Arial"/>
      <charset val="1"/>
    </font>
    <font>
      <sz val="8"/>
      <color rgb="FF444444"/>
      <name val="Arial"/>
      <charset val="1"/>
    </font>
    <font>
      <sz val="8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80"/>
      <name val="Arial"/>
      <charset val="1"/>
    </font>
    <font>
      <sz val="8"/>
      <color rgb="FF666666"/>
      <name val="Arial"/>
      <charset val="1"/>
    </font>
    <font>
      <sz val="8"/>
      <color rgb="FF888888"/>
      <name val="Arial"/>
      <charset val="1"/>
    </font>
    <font>
      <sz val="8"/>
      <color rgb="FFAAAAAA"/>
      <name val="Arial"/>
      <charset val="1"/>
    </font>
    <font>
      <sz val="9"/>
      <color rgb="FF1A7A4A"/>
      <name val="Arial"/>
      <charset val="1"/>
    </font>
    <font>
      <b/>
      <sz val="8"/>
      <color rgb="FF1A7A4A"/>
      <name val="Arial"/>
      <charset val="1"/>
    </font>
    <font>
      <sz val="8"/>
      <color rgb="FF000000"/>
      <name val="Arial"/>
      <charset val="1"/>
    </font>
    <font>
      <sz val="9"/>
      <color rgb="FF006400"/>
      <name val="Arial"/>
      <charset val="1"/>
    </font>
    <font>
      <b/>
      <sz val="9"/>
      <color rgb="FF000000"/>
      <name val="Arial"/>
      <charset val="1"/>
    </font>
    <font>
      <sz val="8"/>
      <name val="Arial"/>
      <charset val="1"/>
    </font>
    <font>
      <b/>
      <sz val="9"/>
      <color rgb="FF2980B9"/>
      <name val="Arial"/>
      <charset val="1"/>
    </font>
    <font>
      <sz val="8"/>
      <color rgb="FFE67E22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1B2A4A"/>
      <name val="Arial"/>
      <charset val="1"/>
    </font>
    <font>
      <sz val="9"/>
      <name val="Arial"/>
      <charset val="1"/>
    </font>
    <font>
      <b/>
      <sz val="9"/>
      <color rgb="FF00FF88"/>
      <name val="Arial"/>
      <charset val="1"/>
    </font>
    <font>
      <i/>
      <sz val="9"/>
      <color rgb="FF1B2A4A"/>
      <name val="Arial"/>
      <charset val="1"/>
    </font>
    <font>
      <sz val="9"/>
      <color rgb="FF555555"/>
      <name val="Arial"/>
      <charset val="1"/>
    </font>
    <font>
      <b/>
      <sz val="9"/>
      <color rgb="FF1A7A4A"/>
      <name val="Arial"/>
      <charset val="1"/>
    </font>
    <font>
      <sz val="8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color rgb="FFC0392B"/>
      <name val="Arial"/>
      <charset val="1"/>
    </font>
    <font>
      <sz val="8"/>
      <color rgb="FF333333"/>
      <name val="Arial"/>
      <charset val="1"/>
    </font>
    <font>
      <sz val="8"/>
      <color rgb="FF999999"/>
      <name val="Arial"/>
      <charset val="1"/>
    </font>
    <font>
      <b/>
      <sz val="8"/>
      <color rgb="FF1A5A8A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D6E4F0"/>
        <bgColor rgb="FFD5F0E0"/>
      </patternFill>
    </fill>
    <fill>
      <patternFill patternType="solid">
        <fgColor rgb="FF2E5FA3"/>
        <bgColor rgb="FF1A5A8A"/>
      </patternFill>
    </fill>
    <fill>
      <patternFill patternType="solid">
        <fgColor rgb="FFF5F6FA"/>
        <bgColor rgb="FFEBF5FB"/>
      </patternFill>
    </fill>
    <fill>
      <patternFill patternType="solid">
        <fgColor rgb="FFFFFFFF"/>
        <bgColor rgb="FFF5F6FA"/>
      </patternFill>
    </fill>
    <fill>
      <patternFill patternType="solid">
        <fgColor rgb="FF1A7A4A"/>
        <bgColor rgb="FF388E3C"/>
      </patternFill>
    </fill>
    <fill>
      <patternFill patternType="solid">
        <fgColor rgb="FFD5F0E0"/>
        <bgColor rgb="FFD6E4F0"/>
      </patternFill>
    </fill>
    <fill>
      <patternFill patternType="solid">
        <fgColor rgb="FF388E3C"/>
        <bgColor rgb="FF1A7A4A"/>
      </patternFill>
    </fill>
    <fill>
      <patternFill patternType="solid">
        <fgColor rgb="FFEBF5FB"/>
        <bgColor rgb="FFF5F6FA"/>
      </patternFill>
    </fill>
    <fill>
      <patternFill patternType="solid">
        <fgColor rgb="FFFFF9E7"/>
        <bgColor rgb="FFF5F6FA"/>
      </patternFill>
    </fill>
    <fill>
      <patternFill patternType="solid">
        <fgColor rgb="FFC0392B"/>
        <bgColor rgb="FF993366"/>
      </patternFill>
    </fill>
    <fill>
      <patternFill patternType="solid">
        <fgColor rgb="FFE0F0FF"/>
        <b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7" fillId="3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14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4" fontId="10" fillId="5" borderId="1" xfId="0" applyNumberFormat="1" applyFont="1" applyFill="1" applyBorder="1" applyAlignment="1">
      <alignment horizontal="right" vertical="center"/>
    </xf>
    <xf numFmtId="3" fontId="17" fillId="5" borderId="1" xfId="0" applyNumberFormat="1" applyFont="1" applyFill="1" applyBorder="1" applyAlignment="1">
      <alignment horizontal="right" vertical="center"/>
    </xf>
    <xf numFmtId="3" fontId="18" fillId="5" borderId="1" xfId="0" applyNumberFormat="1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4" fontId="10" fillId="6" borderId="1" xfId="0" applyNumberFormat="1" applyFont="1" applyFill="1" applyBorder="1" applyAlignment="1">
      <alignment horizontal="right" vertical="center"/>
    </xf>
    <xf numFmtId="3" fontId="17" fillId="6" borderId="1" xfId="0" applyNumberFormat="1" applyFont="1" applyFill="1" applyBorder="1" applyAlignment="1">
      <alignment horizontal="right" vertical="center"/>
    </xf>
    <xf numFmtId="3" fontId="18" fillId="6" borderId="1" xfId="0" applyNumberFormat="1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/>
    </xf>
    <xf numFmtId="3" fontId="22" fillId="7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right"/>
    </xf>
    <xf numFmtId="164" fontId="25" fillId="5" borderId="1" xfId="0" applyNumberFormat="1" applyFont="1" applyFill="1" applyBorder="1" applyAlignment="1">
      <alignment horizontal="right"/>
    </xf>
    <xf numFmtId="3" fontId="17" fillId="5" borderId="1" xfId="0" applyNumberFormat="1" applyFont="1" applyFill="1" applyBorder="1" applyAlignment="1">
      <alignment horizontal="right"/>
    </xf>
    <xf numFmtId="0" fontId="24" fillId="6" borderId="1" xfId="0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/>
    </xf>
    <xf numFmtId="164" fontId="25" fillId="6" borderId="1" xfId="0" applyNumberFormat="1" applyFont="1" applyFill="1" applyBorder="1" applyAlignment="1">
      <alignment horizontal="right"/>
    </xf>
    <xf numFmtId="3" fontId="17" fillId="6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right"/>
    </xf>
    <xf numFmtId="0" fontId="24" fillId="6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right"/>
    </xf>
    <xf numFmtId="0" fontId="2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/>
    </xf>
    <xf numFmtId="3" fontId="4" fillId="7" borderId="1" xfId="0" applyNumberFormat="1" applyFont="1" applyFill="1" applyBorder="1" applyAlignment="1">
      <alignment horizontal="right"/>
    </xf>
    <xf numFmtId="0" fontId="30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2" fillId="6" borderId="1" xfId="0" applyNumberFormat="1" applyFont="1" applyFill="1" applyBorder="1" applyAlignment="1">
      <alignment horizontal="right"/>
    </xf>
    <xf numFmtId="0" fontId="33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indent="1"/>
    </xf>
    <xf numFmtId="0" fontId="3" fillId="7" borderId="1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6400"/>
      <rgbColor rgb="FF000080"/>
      <rgbColor rgb="FF808000"/>
      <rgbColor rgb="FF800080"/>
      <rgbColor rgb="FF1A7A4A"/>
      <rgbColor rgb="FFCCCCCC"/>
      <rgbColor rgb="FF888888"/>
      <rgbColor rgb="FFAAAAAA"/>
      <rgbColor rgb="FF993366"/>
      <rgbColor rgb="FFFFF9E7"/>
      <rgbColor rgb="FFE0F0FF"/>
      <rgbColor rgb="FF660066"/>
      <rgbColor rgb="FFFF8080"/>
      <rgbColor rgb="FF1A5A8A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BF5FB"/>
      <rgbColor rgb="FFD5F0E0"/>
      <rgbColor rgb="FFF5F6FA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E67E22"/>
      <rgbColor rgb="FF666666"/>
      <rgbColor rgb="FF999999"/>
      <rgbColor rgb="FF1B2A4A"/>
      <rgbColor rgb="FF388E3C"/>
      <rgbColor rgb="FF003300"/>
      <rgbColor rgb="FF444444"/>
      <rgbColor rgb="FFC0392B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showGridLines="0" tabSelected="1" zoomScaleNormal="100" workbookViewId="0">
      <pane ySplit="4" topLeftCell="A5" activePane="bottomLeft" state="frozen"/>
      <selection pane="bottomLeft" sqref="A1:H1"/>
    </sheetView>
  </sheetViews>
  <sheetFormatPr baseColWidth="10" defaultColWidth="8.7109375" defaultRowHeight="15" x14ac:dyDescent="0.25"/>
  <cols>
    <col min="1" max="1" width="5" customWidth="1"/>
    <col min="2" max="2" width="10" customWidth="1"/>
    <col min="3" max="3" width="16" customWidth="1"/>
    <col min="4" max="4" width="55" customWidth="1"/>
    <col min="5" max="5" width="8" customWidth="1"/>
    <col min="6" max="6" width="22" customWidth="1"/>
    <col min="7" max="7" width="28" customWidth="1"/>
    <col min="8" max="8" width="14" customWidth="1"/>
  </cols>
  <sheetData>
    <row r="1" spans="1:8" ht="31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6" customHeight="1" x14ac:dyDescent="0.25"/>
    <row r="4" spans="1:8" ht="30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</row>
    <row r="5" spans="1:8" ht="19.5" customHeight="1" x14ac:dyDescent="0.25">
      <c r="A5" s="12" t="s">
        <v>10</v>
      </c>
      <c r="B5" s="12"/>
      <c r="C5" s="12"/>
      <c r="D5" s="12"/>
      <c r="E5" s="12"/>
      <c r="F5" s="12"/>
      <c r="G5" s="12"/>
      <c r="H5" s="12"/>
    </row>
    <row r="6" spans="1:8" ht="15.75" customHeight="1" x14ac:dyDescent="0.25">
      <c r="A6" s="11" t="s">
        <v>11</v>
      </c>
      <c r="B6" s="11"/>
      <c r="C6" s="11"/>
      <c r="D6" s="11"/>
      <c r="E6" s="11"/>
      <c r="F6" s="11"/>
      <c r="G6" s="11"/>
      <c r="H6" s="11"/>
    </row>
    <row r="7" spans="1:8" ht="15.75" customHeight="1" x14ac:dyDescent="0.25">
      <c r="A7" s="16" t="s">
        <v>12</v>
      </c>
      <c r="B7" s="17" t="s">
        <v>13</v>
      </c>
      <c r="C7" s="18" t="s">
        <v>14</v>
      </c>
      <c r="D7" s="19" t="s">
        <v>15</v>
      </c>
      <c r="E7" s="20" t="s">
        <v>16</v>
      </c>
      <c r="F7" s="21">
        <v>4755250</v>
      </c>
      <c r="G7" s="22" t="s">
        <v>17</v>
      </c>
      <c r="H7" s="23" t="s">
        <v>13</v>
      </c>
    </row>
    <row r="8" spans="1:8" ht="15.75" customHeight="1" x14ac:dyDescent="0.25">
      <c r="A8" s="24" t="s">
        <v>18</v>
      </c>
      <c r="B8" s="25" t="s">
        <v>13</v>
      </c>
      <c r="C8" s="26" t="s">
        <v>19</v>
      </c>
      <c r="D8" s="27" t="s">
        <v>20</v>
      </c>
      <c r="E8" s="28" t="s">
        <v>16</v>
      </c>
      <c r="F8" s="29">
        <v>3758730</v>
      </c>
      <c r="G8" s="30" t="s">
        <v>17</v>
      </c>
      <c r="H8" s="31" t="s">
        <v>13</v>
      </c>
    </row>
    <row r="9" spans="1:8" ht="15.75" customHeight="1" x14ac:dyDescent="0.25">
      <c r="A9" s="16" t="s">
        <v>21</v>
      </c>
      <c r="B9" s="17" t="s">
        <v>13</v>
      </c>
      <c r="C9" s="18" t="s">
        <v>22</v>
      </c>
      <c r="D9" s="19" t="s">
        <v>23</v>
      </c>
      <c r="E9" s="20" t="s">
        <v>16</v>
      </c>
      <c r="F9" s="21">
        <v>2507000</v>
      </c>
      <c r="G9" s="22" t="s">
        <v>17</v>
      </c>
      <c r="H9" s="23" t="s">
        <v>13</v>
      </c>
    </row>
    <row r="10" spans="1:8" ht="15.75" customHeight="1" x14ac:dyDescent="0.25">
      <c r="A10" s="24" t="s">
        <v>24</v>
      </c>
      <c r="B10" s="25" t="s">
        <v>13</v>
      </c>
      <c r="C10" s="26" t="s">
        <v>25</v>
      </c>
      <c r="D10" s="27" t="s">
        <v>26</v>
      </c>
      <c r="E10" s="28" t="s">
        <v>16</v>
      </c>
      <c r="F10" s="29">
        <v>4213438</v>
      </c>
      <c r="G10" s="30" t="s">
        <v>17</v>
      </c>
      <c r="H10" s="31" t="s">
        <v>13</v>
      </c>
    </row>
    <row r="11" spans="1:8" ht="15.75" customHeight="1" x14ac:dyDescent="0.25">
      <c r="A11" s="16" t="s">
        <v>27</v>
      </c>
      <c r="B11" s="17" t="s">
        <v>13</v>
      </c>
      <c r="C11" s="18" t="s">
        <v>28</v>
      </c>
      <c r="D11" s="19" t="s">
        <v>29</v>
      </c>
      <c r="E11" s="20" t="s">
        <v>16</v>
      </c>
      <c r="F11" s="21">
        <v>4945000</v>
      </c>
      <c r="G11" s="22" t="s">
        <v>17</v>
      </c>
      <c r="H11" s="23" t="s">
        <v>13</v>
      </c>
    </row>
    <row r="12" spans="1:8" ht="15.75" customHeight="1" x14ac:dyDescent="0.25">
      <c r="A12" s="24" t="s">
        <v>30</v>
      </c>
      <c r="B12" s="25" t="s">
        <v>13</v>
      </c>
      <c r="C12" s="26" t="s">
        <v>31</v>
      </c>
      <c r="D12" s="27" t="s">
        <v>32</v>
      </c>
      <c r="E12" s="28" t="s">
        <v>16</v>
      </c>
      <c r="F12" s="29">
        <v>4795500</v>
      </c>
      <c r="G12" s="30" t="s">
        <v>17</v>
      </c>
      <c r="H12" s="31" t="s">
        <v>13</v>
      </c>
    </row>
    <row r="13" spans="1:8" ht="15.75" customHeight="1" x14ac:dyDescent="0.25">
      <c r="A13" s="16" t="s">
        <v>33</v>
      </c>
      <c r="B13" s="17" t="s">
        <v>13</v>
      </c>
      <c r="C13" s="18" t="s">
        <v>34</v>
      </c>
      <c r="D13" s="19" t="s">
        <v>35</v>
      </c>
      <c r="E13" s="20" t="s">
        <v>16</v>
      </c>
      <c r="F13" s="21">
        <v>1265000</v>
      </c>
      <c r="G13" s="22" t="s">
        <v>17</v>
      </c>
      <c r="H13" s="23" t="s">
        <v>13</v>
      </c>
    </row>
    <row r="14" spans="1:8" ht="15.75" customHeight="1" x14ac:dyDescent="0.25">
      <c r="A14" s="11" t="s">
        <v>36</v>
      </c>
      <c r="B14" s="11"/>
      <c r="C14" s="11"/>
      <c r="D14" s="11"/>
      <c r="E14" s="11"/>
      <c r="F14" s="11"/>
      <c r="G14" s="11"/>
      <c r="H14" s="11"/>
    </row>
    <row r="15" spans="1:8" ht="15.75" customHeight="1" x14ac:dyDescent="0.25">
      <c r="A15" s="16" t="s">
        <v>37</v>
      </c>
      <c r="B15" s="17" t="s">
        <v>13</v>
      </c>
      <c r="C15" s="18" t="s">
        <v>38</v>
      </c>
      <c r="D15" s="19" t="s">
        <v>39</v>
      </c>
      <c r="E15" s="20" t="s">
        <v>40</v>
      </c>
      <c r="F15" s="21">
        <v>1725000</v>
      </c>
      <c r="G15" s="22" t="s">
        <v>41</v>
      </c>
      <c r="H15" s="23" t="s">
        <v>13</v>
      </c>
    </row>
    <row r="16" spans="1:8" ht="15.75" customHeight="1" x14ac:dyDescent="0.25">
      <c r="A16" s="24" t="s">
        <v>42</v>
      </c>
      <c r="B16" s="25" t="s">
        <v>13</v>
      </c>
      <c r="C16" s="26" t="s">
        <v>43</v>
      </c>
      <c r="D16" s="27" t="s">
        <v>44</v>
      </c>
      <c r="E16" s="28" t="s">
        <v>40</v>
      </c>
      <c r="F16" s="29">
        <v>2587500</v>
      </c>
      <c r="G16" s="30" t="s">
        <v>41</v>
      </c>
      <c r="H16" s="31" t="s">
        <v>13</v>
      </c>
    </row>
    <row r="17" spans="1:8" ht="15.75" customHeight="1" x14ac:dyDescent="0.25">
      <c r="A17" s="16" t="s">
        <v>45</v>
      </c>
      <c r="B17" s="17" t="s">
        <v>13</v>
      </c>
      <c r="C17" s="18" t="s">
        <v>46</v>
      </c>
      <c r="D17" s="19" t="s">
        <v>47</v>
      </c>
      <c r="E17" s="20" t="s">
        <v>40</v>
      </c>
      <c r="F17" s="21">
        <v>1725000</v>
      </c>
      <c r="G17" s="22" t="s">
        <v>41</v>
      </c>
      <c r="H17" s="23" t="s">
        <v>13</v>
      </c>
    </row>
    <row r="18" spans="1:8" ht="15.75" customHeight="1" x14ac:dyDescent="0.25">
      <c r="A18" s="24" t="s">
        <v>48</v>
      </c>
      <c r="B18" s="25" t="s">
        <v>13</v>
      </c>
      <c r="C18" s="26" t="s">
        <v>49</v>
      </c>
      <c r="D18" s="27" t="s">
        <v>50</v>
      </c>
      <c r="E18" s="28" t="s">
        <v>40</v>
      </c>
      <c r="F18" s="29">
        <v>552000</v>
      </c>
      <c r="G18" s="30" t="s">
        <v>41</v>
      </c>
      <c r="H18" s="31" t="s">
        <v>13</v>
      </c>
    </row>
    <row r="19" spans="1:8" ht="15.75" customHeight="1" x14ac:dyDescent="0.25">
      <c r="A19" s="16" t="s">
        <v>51</v>
      </c>
      <c r="B19" s="17" t="s">
        <v>13</v>
      </c>
      <c r="C19" s="18" t="s">
        <v>52</v>
      </c>
      <c r="D19" s="19" t="s">
        <v>53</v>
      </c>
      <c r="E19" s="20" t="s">
        <v>54</v>
      </c>
      <c r="F19" s="21">
        <v>5750</v>
      </c>
      <c r="G19" s="22" t="s">
        <v>41</v>
      </c>
      <c r="H19" s="23" t="s">
        <v>13</v>
      </c>
    </row>
    <row r="20" spans="1:8" ht="15.75" customHeight="1" x14ac:dyDescent="0.25">
      <c r="A20" s="11" t="s">
        <v>55</v>
      </c>
      <c r="B20" s="11"/>
      <c r="C20" s="11"/>
      <c r="D20" s="11"/>
      <c r="E20" s="11"/>
      <c r="F20" s="11"/>
      <c r="G20" s="11"/>
      <c r="H20" s="11"/>
    </row>
    <row r="21" spans="1:8" ht="15.75" customHeight="1" x14ac:dyDescent="0.25">
      <c r="A21" s="16" t="s">
        <v>56</v>
      </c>
      <c r="B21" s="17" t="s">
        <v>13</v>
      </c>
      <c r="C21" s="18" t="s">
        <v>57</v>
      </c>
      <c r="D21" s="19" t="s">
        <v>58</v>
      </c>
      <c r="E21" s="20" t="s">
        <v>59</v>
      </c>
      <c r="F21" s="21">
        <v>338720</v>
      </c>
      <c r="G21" s="22" t="s">
        <v>60</v>
      </c>
      <c r="H21" s="23" t="s">
        <v>13</v>
      </c>
    </row>
    <row r="22" spans="1:8" ht="15.75" customHeight="1" x14ac:dyDescent="0.25">
      <c r="A22" s="24" t="s">
        <v>61</v>
      </c>
      <c r="B22" s="25" t="s">
        <v>13</v>
      </c>
      <c r="C22" s="26" t="s">
        <v>62</v>
      </c>
      <c r="D22" s="27" t="s">
        <v>63</v>
      </c>
      <c r="E22" s="28" t="s">
        <v>59</v>
      </c>
      <c r="F22" s="29">
        <v>189175</v>
      </c>
      <c r="G22" s="30" t="s">
        <v>64</v>
      </c>
      <c r="H22" s="31" t="s">
        <v>13</v>
      </c>
    </row>
    <row r="23" spans="1:8" ht="15.75" customHeight="1" x14ac:dyDescent="0.25">
      <c r="A23" s="16" t="s">
        <v>65</v>
      </c>
      <c r="B23" s="17" t="s">
        <v>13</v>
      </c>
      <c r="C23" s="18" t="s">
        <v>66</v>
      </c>
      <c r="D23" s="19" t="s">
        <v>67</v>
      </c>
      <c r="E23" s="20" t="s">
        <v>59</v>
      </c>
      <c r="F23" s="21">
        <v>189175</v>
      </c>
      <c r="G23" s="22" t="s">
        <v>64</v>
      </c>
      <c r="H23" s="23" t="s">
        <v>13</v>
      </c>
    </row>
    <row r="24" spans="1:8" ht="15.75" customHeight="1" x14ac:dyDescent="0.25">
      <c r="A24" s="24" t="s">
        <v>68</v>
      </c>
      <c r="B24" s="25" t="s">
        <v>13</v>
      </c>
      <c r="C24" s="26" t="s">
        <v>69</v>
      </c>
      <c r="D24" s="27" t="s">
        <v>70</v>
      </c>
      <c r="E24" s="28" t="s">
        <v>54</v>
      </c>
      <c r="F24" s="29">
        <v>5750</v>
      </c>
      <c r="G24" s="30" t="s">
        <v>71</v>
      </c>
      <c r="H24" s="31" t="s">
        <v>13</v>
      </c>
    </row>
    <row r="25" spans="1:8" ht="15.75" customHeight="1" x14ac:dyDescent="0.25">
      <c r="A25" s="16" t="s">
        <v>72</v>
      </c>
      <c r="B25" s="17" t="s">
        <v>13</v>
      </c>
      <c r="C25" s="18" t="s">
        <v>73</v>
      </c>
      <c r="D25" s="19" t="s">
        <v>74</v>
      </c>
      <c r="E25" s="20" t="s">
        <v>75</v>
      </c>
      <c r="F25" s="21">
        <v>1380</v>
      </c>
      <c r="G25" s="22" t="s">
        <v>71</v>
      </c>
      <c r="H25" s="23" t="s">
        <v>13</v>
      </c>
    </row>
    <row r="26" spans="1:8" ht="15.75" customHeight="1" x14ac:dyDescent="0.25">
      <c r="A26" s="24" t="s">
        <v>76</v>
      </c>
      <c r="B26" s="25" t="s">
        <v>13</v>
      </c>
      <c r="C26" s="26" t="s">
        <v>77</v>
      </c>
      <c r="D26" s="27" t="s">
        <v>78</v>
      </c>
      <c r="E26" s="28" t="s">
        <v>54</v>
      </c>
      <c r="F26" s="29">
        <v>12180</v>
      </c>
      <c r="G26" s="30" t="s">
        <v>60</v>
      </c>
      <c r="H26" s="31" t="s">
        <v>13</v>
      </c>
    </row>
    <row r="27" spans="1:8" ht="15.75" customHeight="1" x14ac:dyDescent="0.25">
      <c r="A27" s="16" t="s">
        <v>79</v>
      </c>
      <c r="B27" s="17" t="s">
        <v>13</v>
      </c>
      <c r="C27" s="18" t="s">
        <v>80</v>
      </c>
      <c r="D27" s="19" t="s">
        <v>81</v>
      </c>
      <c r="E27" s="20" t="s">
        <v>54</v>
      </c>
      <c r="F27" s="21">
        <v>11185</v>
      </c>
      <c r="G27" s="22" t="s">
        <v>82</v>
      </c>
      <c r="H27" s="23" t="s">
        <v>13</v>
      </c>
    </row>
    <row r="28" spans="1:8" ht="15.75" customHeight="1" x14ac:dyDescent="0.25">
      <c r="A28" s="24" t="s">
        <v>83</v>
      </c>
      <c r="B28" s="25" t="s">
        <v>13</v>
      </c>
      <c r="C28" s="26" t="s">
        <v>84</v>
      </c>
      <c r="D28" s="27" t="s">
        <v>85</v>
      </c>
      <c r="E28" s="28" t="s">
        <v>54</v>
      </c>
      <c r="F28" s="29">
        <v>14231</v>
      </c>
      <c r="G28" s="30" t="s">
        <v>82</v>
      </c>
      <c r="H28" s="31" t="s">
        <v>13</v>
      </c>
    </row>
    <row r="29" spans="1:8" ht="15.75" customHeight="1" x14ac:dyDescent="0.25">
      <c r="A29" s="16" t="s">
        <v>86</v>
      </c>
      <c r="B29" s="17" t="s">
        <v>13</v>
      </c>
      <c r="C29" s="18" t="s">
        <v>87</v>
      </c>
      <c r="D29" s="19" t="s">
        <v>88</v>
      </c>
      <c r="E29" s="20" t="s">
        <v>54</v>
      </c>
      <c r="F29" s="21">
        <v>3827</v>
      </c>
      <c r="G29" s="22" t="s">
        <v>82</v>
      </c>
      <c r="H29" s="23" t="s">
        <v>13</v>
      </c>
    </row>
    <row r="30" spans="1:8" ht="15.75" customHeight="1" x14ac:dyDescent="0.25">
      <c r="A30" s="24" t="s">
        <v>89</v>
      </c>
      <c r="B30" s="25" t="s">
        <v>13</v>
      </c>
      <c r="C30" s="26" t="s">
        <v>90</v>
      </c>
      <c r="D30" s="27" t="s">
        <v>91</v>
      </c>
      <c r="E30" s="28" t="s">
        <v>54</v>
      </c>
      <c r="F30" s="29">
        <v>3827</v>
      </c>
      <c r="G30" s="30" t="s">
        <v>82</v>
      </c>
      <c r="H30" s="31" t="s">
        <v>13</v>
      </c>
    </row>
    <row r="31" spans="1:8" ht="19.5" customHeight="1" x14ac:dyDescent="0.25">
      <c r="A31" s="12" t="s">
        <v>92</v>
      </c>
      <c r="B31" s="12"/>
      <c r="C31" s="12"/>
      <c r="D31" s="12"/>
      <c r="E31" s="12"/>
      <c r="F31" s="12"/>
      <c r="G31" s="12"/>
      <c r="H31" s="12"/>
    </row>
    <row r="32" spans="1:8" ht="15.75" customHeight="1" x14ac:dyDescent="0.25">
      <c r="A32" s="24" t="s">
        <v>93</v>
      </c>
      <c r="B32" s="25" t="s">
        <v>94</v>
      </c>
      <c r="C32" s="26" t="s">
        <v>95</v>
      </c>
      <c r="D32" s="27" t="s">
        <v>96</v>
      </c>
      <c r="E32" s="28" t="s">
        <v>54</v>
      </c>
      <c r="F32" s="29">
        <v>17276</v>
      </c>
      <c r="G32" s="30" t="s">
        <v>94</v>
      </c>
      <c r="H32" s="31" t="s">
        <v>94</v>
      </c>
    </row>
    <row r="33" spans="1:8" ht="15.75" customHeight="1" x14ac:dyDescent="0.25">
      <c r="A33" s="16" t="s">
        <v>97</v>
      </c>
      <c r="B33" s="17" t="s">
        <v>94</v>
      </c>
      <c r="C33" s="18" t="s">
        <v>98</v>
      </c>
      <c r="D33" s="19" t="s">
        <v>99</v>
      </c>
      <c r="E33" s="20" t="s">
        <v>54</v>
      </c>
      <c r="F33" s="21">
        <v>17276</v>
      </c>
      <c r="G33" s="22" t="s">
        <v>94</v>
      </c>
      <c r="H33" s="23" t="s">
        <v>94</v>
      </c>
    </row>
    <row r="34" spans="1:8" ht="15.75" customHeight="1" x14ac:dyDescent="0.25">
      <c r="A34" s="24" t="s">
        <v>100</v>
      </c>
      <c r="B34" s="25" t="s">
        <v>94</v>
      </c>
      <c r="C34" s="26" t="s">
        <v>101</v>
      </c>
      <c r="D34" s="27" t="s">
        <v>102</v>
      </c>
      <c r="E34" s="28" t="s">
        <v>54</v>
      </c>
      <c r="F34" s="29">
        <v>34552</v>
      </c>
      <c r="G34" s="30" t="s">
        <v>94</v>
      </c>
      <c r="H34" s="31" t="s">
        <v>94</v>
      </c>
    </row>
    <row r="35" spans="1:8" ht="15.75" customHeight="1" x14ac:dyDescent="0.25">
      <c r="A35" s="16" t="s">
        <v>103</v>
      </c>
      <c r="B35" s="17" t="s">
        <v>94</v>
      </c>
      <c r="C35" s="18" t="s">
        <v>104</v>
      </c>
      <c r="D35" s="19" t="s">
        <v>105</v>
      </c>
      <c r="E35" s="20" t="s">
        <v>54</v>
      </c>
      <c r="F35" s="21">
        <v>17276</v>
      </c>
      <c r="G35" s="22" t="s">
        <v>94</v>
      </c>
      <c r="H35" s="23" t="s">
        <v>94</v>
      </c>
    </row>
    <row r="36" spans="1:8" ht="15.75" customHeight="1" x14ac:dyDescent="0.25">
      <c r="A36" s="24" t="s">
        <v>106</v>
      </c>
      <c r="B36" s="25" t="s">
        <v>94</v>
      </c>
      <c r="C36" s="26" t="s">
        <v>107</v>
      </c>
      <c r="D36" s="27" t="s">
        <v>108</v>
      </c>
      <c r="E36" s="28" t="s">
        <v>54</v>
      </c>
      <c r="F36" s="29">
        <v>11793</v>
      </c>
      <c r="G36" s="30" t="s">
        <v>94</v>
      </c>
      <c r="H36" s="31" t="s">
        <v>94</v>
      </c>
    </row>
    <row r="37" spans="1:8" ht="15.75" customHeight="1" x14ac:dyDescent="0.25">
      <c r="A37" s="16" t="s">
        <v>109</v>
      </c>
      <c r="B37" s="17" t="s">
        <v>94</v>
      </c>
      <c r="C37" s="18" t="s">
        <v>110</v>
      </c>
      <c r="D37" s="19" t="s">
        <v>111</v>
      </c>
      <c r="E37" s="20" t="s">
        <v>112</v>
      </c>
      <c r="F37" s="21">
        <v>8641</v>
      </c>
      <c r="G37" s="22" t="s">
        <v>94</v>
      </c>
      <c r="H37" s="23" t="s">
        <v>94</v>
      </c>
    </row>
    <row r="38" spans="1:8" ht="19.5" customHeight="1" x14ac:dyDescent="0.25">
      <c r="A38" s="12" t="s">
        <v>113</v>
      </c>
      <c r="B38" s="12"/>
      <c r="C38" s="12"/>
      <c r="D38" s="12"/>
      <c r="E38" s="12"/>
      <c r="F38" s="12"/>
      <c r="G38" s="12"/>
      <c r="H38" s="12"/>
    </row>
    <row r="39" spans="1:8" ht="15.75" customHeight="1" x14ac:dyDescent="0.25">
      <c r="A39" s="16" t="s">
        <v>114</v>
      </c>
      <c r="B39" s="17" t="s">
        <v>115</v>
      </c>
      <c r="C39" s="18" t="s">
        <v>116</v>
      </c>
      <c r="D39" s="19" t="s">
        <v>117</v>
      </c>
      <c r="E39" s="20" t="s">
        <v>54</v>
      </c>
      <c r="F39" s="21">
        <v>28175</v>
      </c>
      <c r="G39" s="22" t="s">
        <v>115</v>
      </c>
      <c r="H39" s="23" t="s">
        <v>115</v>
      </c>
    </row>
    <row r="40" spans="1:8" ht="15.75" customHeight="1" x14ac:dyDescent="0.25">
      <c r="A40" s="24" t="s">
        <v>118</v>
      </c>
      <c r="B40" s="25" t="s">
        <v>115</v>
      </c>
      <c r="C40" s="26" t="s">
        <v>119</v>
      </c>
      <c r="D40" s="27" t="s">
        <v>120</v>
      </c>
      <c r="E40" s="28" t="s">
        <v>54</v>
      </c>
      <c r="F40" s="29">
        <v>33925</v>
      </c>
      <c r="G40" s="30" t="s">
        <v>115</v>
      </c>
      <c r="H40" s="31" t="s">
        <v>115</v>
      </c>
    </row>
    <row r="41" spans="1:8" ht="15.75" customHeight="1" x14ac:dyDescent="0.25">
      <c r="A41" s="16" t="s">
        <v>121</v>
      </c>
      <c r="B41" s="17" t="s">
        <v>115</v>
      </c>
      <c r="C41" s="18" t="s">
        <v>122</v>
      </c>
      <c r="D41" s="19" t="s">
        <v>123</v>
      </c>
      <c r="E41" s="20" t="s">
        <v>112</v>
      </c>
      <c r="F41" s="21">
        <v>5750</v>
      </c>
      <c r="G41" s="22" t="s">
        <v>115</v>
      </c>
      <c r="H41" s="23" t="s">
        <v>115</v>
      </c>
    </row>
    <row r="42" spans="1:8" ht="15.75" customHeight="1" x14ac:dyDescent="0.25">
      <c r="A42" s="24" t="s">
        <v>124</v>
      </c>
      <c r="B42" s="25" t="s">
        <v>115</v>
      </c>
      <c r="C42" s="26" t="s">
        <v>125</v>
      </c>
      <c r="D42" s="27" t="s">
        <v>126</v>
      </c>
      <c r="E42" s="28" t="s">
        <v>112</v>
      </c>
      <c r="F42" s="29">
        <v>517500</v>
      </c>
      <c r="G42" s="30" t="s">
        <v>127</v>
      </c>
      <c r="H42" s="31" t="s">
        <v>115</v>
      </c>
    </row>
    <row r="43" spans="1:8" ht="19.5" customHeight="1" x14ac:dyDescent="0.25">
      <c r="A43" s="12" t="s">
        <v>128</v>
      </c>
      <c r="B43" s="12"/>
      <c r="C43" s="12"/>
      <c r="D43" s="12"/>
      <c r="E43" s="12"/>
      <c r="F43" s="12"/>
      <c r="G43" s="12"/>
      <c r="H43" s="12"/>
    </row>
    <row r="44" spans="1:8" ht="15.75" customHeight="1" x14ac:dyDescent="0.25">
      <c r="A44" s="24" t="s">
        <v>129</v>
      </c>
      <c r="B44" s="25" t="s">
        <v>130</v>
      </c>
      <c r="C44" s="26" t="s">
        <v>131</v>
      </c>
      <c r="D44" s="27" t="s">
        <v>132</v>
      </c>
      <c r="E44" s="28" t="s">
        <v>54</v>
      </c>
      <c r="F44" s="29">
        <v>138000</v>
      </c>
      <c r="G44" s="30" t="s">
        <v>133</v>
      </c>
      <c r="H44" s="31" t="s">
        <v>130</v>
      </c>
    </row>
    <row r="45" spans="1:8" ht="15.75" customHeight="1" x14ac:dyDescent="0.25">
      <c r="A45" s="16" t="s">
        <v>134</v>
      </c>
      <c r="B45" s="17" t="s">
        <v>130</v>
      </c>
      <c r="C45" s="18" t="s">
        <v>135</v>
      </c>
      <c r="D45" s="19" t="s">
        <v>136</v>
      </c>
      <c r="E45" s="20" t="s">
        <v>54</v>
      </c>
      <c r="F45" s="21">
        <v>138000</v>
      </c>
      <c r="G45" s="22" t="s">
        <v>130</v>
      </c>
      <c r="H45" s="23" t="s">
        <v>130</v>
      </c>
    </row>
    <row r="46" spans="1:8" ht="19.5" customHeight="1" x14ac:dyDescent="0.25">
      <c r="A46" s="12" t="s">
        <v>137</v>
      </c>
      <c r="B46" s="12"/>
      <c r="C46" s="12"/>
      <c r="D46" s="12"/>
      <c r="E46" s="12"/>
      <c r="F46" s="12"/>
      <c r="G46" s="12"/>
      <c r="H46" s="12"/>
    </row>
    <row r="47" spans="1:8" ht="15.75" customHeight="1" x14ac:dyDescent="0.25">
      <c r="A47" s="16" t="s">
        <v>138</v>
      </c>
      <c r="B47" s="17" t="s">
        <v>139</v>
      </c>
      <c r="C47" s="18" t="s">
        <v>140</v>
      </c>
      <c r="D47" s="19" t="s">
        <v>141</v>
      </c>
      <c r="E47" s="20" t="s">
        <v>142</v>
      </c>
      <c r="F47" s="21">
        <v>345000</v>
      </c>
      <c r="G47" s="22" t="s">
        <v>143</v>
      </c>
      <c r="H47" s="23" t="s">
        <v>139</v>
      </c>
    </row>
    <row r="48" spans="1:8" ht="15.75" customHeight="1" x14ac:dyDescent="0.25">
      <c r="A48" s="24" t="s">
        <v>144</v>
      </c>
      <c r="B48" s="25" t="s">
        <v>139</v>
      </c>
      <c r="C48" s="26" t="s">
        <v>145</v>
      </c>
      <c r="D48" s="27" t="s">
        <v>146</v>
      </c>
      <c r="E48" s="28" t="s">
        <v>142</v>
      </c>
      <c r="F48" s="29">
        <v>230000</v>
      </c>
      <c r="G48" s="30" t="s">
        <v>143</v>
      </c>
      <c r="H48" s="31" t="s">
        <v>139</v>
      </c>
    </row>
    <row r="49" spans="1:8" ht="15.75" customHeight="1" x14ac:dyDescent="0.25">
      <c r="A49" s="16" t="s">
        <v>147</v>
      </c>
      <c r="B49" s="17" t="s">
        <v>139</v>
      </c>
      <c r="C49" s="18" t="s">
        <v>148</v>
      </c>
      <c r="D49" s="19" t="s">
        <v>149</v>
      </c>
      <c r="E49" s="20" t="s">
        <v>54</v>
      </c>
      <c r="F49" s="21">
        <v>189750</v>
      </c>
      <c r="G49" s="22" t="s">
        <v>150</v>
      </c>
      <c r="H49" s="23" t="s">
        <v>139</v>
      </c>
    </row>
    <row r="50" spans="1:8" ht="15.75" customHeight="1" x14ac:dyDescent="0.25">
      <c r="A50" s="24" t="s">
        <v>151</v>
      </c>
      <c r="B50" s="25" t="s">
        <v>139</v>
      </c>
      <c r="C50" s="26" t="s">
        <v>152</v>
      </c>
      <c r="D50" s="27" t="s">
        <v>153</v>
      </c>
      <c r="E50" s="28" t="s">
        <v>142</v>
      </c>
      <c r="F50" s="29">
        <v>1092500</v>
      </c>
      <c r="G50" s="30" t="s">
        <v>150</v>
      </c>
      <c r="H50" s="31" t="s">
        <v>139</v>
      </c>
    </row>
    <row r="51" spans="1:8" ht="15.75" customHeight="1" x14ac:dyDescent="0.25">
      <c r="A51" s="16" t="s">
        <v>154</v>
      </c>
      <c r="B51" s="17" t="s">
        <v>139</v>
      </c>
      <c r="C51" s="18" t="s">
        <v>155</v>
      </c>
      <c r="D51" s="19" t="s">
        <v>156</v>
      </c>
      <c r="E51" s="20" t="s">
        <v>54</v>
      </c>
      <c r="F51" s="21">
        <v>97750</v>
      </c>
      <c r="G51" s="22" t="s">
        <v>150</v>
      </c>
      <c r="H51" s="23" t="s">
        <v>139</v>
      </c>
    </row>
    <row r="52" spans="1:8" ht="15.75" customHeight="1" x14ac:dyDescent="0.25">
      <c r="A52" s="24" t="s">
        <v>157</v>
      </c>
      <c r="B52" s="25" t="s">
        <v>139</v>
      </c>
      <c r="C52" s="26" t="s">
        <v>158</v>
      </c>
      <c r="D52" s="27" t="s">
        <v>159</v>
      </c>
      <c r="E52" s="28" t="s">
        <v>54</v>
      </c>
      <c r="F52" s="29">
        <v>97750</v>
      </c>
      <c r="G52" s="30" t="s">
        <v>150</v>
      </c>
      <c r="H52" s="31" t="s">
        <v>139</v>
      </c>
    </row>
    <row r="53" spans="1:8" ht="19.5" customHeight="1" x14ac:dyDescent="0.25">
      <c r="A53" s="12" t="s">
        <v>160</v>
      </c>
      <c r="B53" s="12"/>
      <c r="C53" s="12"/>
      <c r="D53" s="12"/>
      <c r="E53" s="12"/>
      <c r="F53" s="12"/>
      <c r="G53" s="12"/>
      <c r="H53" s="12"/>
    </row>
    <row r="54" spans="1:8" ht="15.75" customHeight="1" x14ac:dyDescent="0.25">
      <c r="A54" s="24" t="s">
        <v>161</v>
      </c>
      <c r="B54" s="25" t="s">
        <v>162</v>
      </c>
      <c r="C54" s="26" t="s">
        <v>163</v>
      </c>
      <c r="D54" s="27" t="s">
        <v>164</v>
      </c>
      <c r="E54" s="28" t="s">
        <v>142</v>
      </c>
      <c r="F54" s="29">
        <v>341550</v>
      </c>
      <c r="G54" s="30" t="s">
        <v>162</v>
      </c>
      <c r="H54" s="31" t="s">
        <v>162</v>
      </c>
    </row>
    <row r="55" spans="1:8" ht="15.75" customHeight="1" x14ac:dyDescent="0.25">
      <c r="A55" s="16" t="s">
        <v>165</v>
      </c>
      <c r="B55" s="17" t="s">
        <v>162</v>
      </c>
      <c r="C55" s="18" t="s">
        <v>166</v>
      </c>
      <c r="D55" s="19" t="s">
        <v>167</v>
      </c>
      <c r="E55" s="20" t="s">
        <v>142</v>
      </c>
      <c r="F55" s="21">
        <v>341550</v>
      </c>
      <c r="G55" s="22" t="s">
        <v>162</v>
      </c>
      <c r="H55" s="23" t="s">
        <v>162</v>
      </c>
    </row>
    <row r="56" spans="1:8" ht="15.75" customHeight="1" x14ac:dyDescent="0.25">
      <c r="A56" s="24" t="s">
        <v>168</v>
      </c>
      <c r="B56" s="25" t="s">
        <v>162</v>
      </c>
      <c r="C56" s="26" t="s">
        <v>169</v>
      </c>
      <c r="D56" s="27" t="s">
        <v>170</v>
      </c>
      <c r="E56" s="28" t="s">
        <v>112</v>
      </c>
      <c r="F56" s="29">
        <v>345000</v>
      </c>
      <c r="G56" s="30" t="s">
        <v>162</v>
      </c>
      <c r="H56" s="31" t="s">
        <v>162</v>
      </c>
    </row>
    <row r="57" spans="1:8" ht="15.75" customHeight="1" x14ac:dyDescent="0.25">
      <c r="A57" s="16" t="s">
        <v>171</v>
      </c>
      <c r="B57" s="17" t="s">
        <v>162</v>
      </c>
      <c r="C57" s="18" t="s">
        <v>172</v>
      </c>
      <c r="D57" s="19" t="s">
        <v>173</v>
      </c>
      <c r="E57" s="20" t="s">
        <v>112</v>
      </c>
      <c r="F57" s="21">
        <v>402500</v>
      </c>
      <c r="G57" s="22" t="s">
        <v>162</v>
      </c>
      <c r="H57" s="23" t="s">
        <v>162</v>
      </c>
    </row>
    <row r="58" spans="1:8" ht="15.75" customHeight="1" x14ac:dyDescent="0.25">
      <c r="A58" s="24" t="s">
        <v>174</v>
      </c>
      <c r="B58" s="25" t="s">
        <v>162</v>
      </c>
      <c r="C58" s="26" t="s">
        <v>175</v>
      </c>
      <c r="D58" s="27" t="s">
        <v>176</v>
      </c>
      <c r="E58" s="28" t="s">
        <v>112</v>
      </c>
      <c r="F58" s="29">
        <v>402500</v>
      </c>
      <c r="G58" s="30" t="s">
        <v>177</v>
      </c>
      <c r="H58" s="31" t="s">
        <v>162</v>
      </c>
    </row>
    <row r="59" spans="1:8" ht="15.75" customHeight="1" x14ac:dyDescent="0.25">
      <c r="A59" s="16" t="s">
        <v>178</v>
      </c>
      <c r="B59" s="17" t="s">
        <v>162</v>
      </c>
      <c r="C59" s="18" t="s">
        <v>179</v>
      </c>
      <c r="D59" s="19" t="s">
        <v>180</v>
      </c>
      <c r="E59" s="20" t="s">
        <v>112</v>
      </c>
      <c r="F59" s="21">
        <v>402500</v>
      </c>
      <c r="G59" s="22" t="s">
        <v>177</v>
      </c>
      <c r="H59" s="23" t="s">
        <v>162</v>
      </c>
    </row>
    <row r="60" spans="1:8" ht="19.5" customHeight="1" x14ac:dyDescent="0.25">
      <c r="A60" s="12" t="s">
        <v>181</v>
      </c>
      <c r="B60" s="12"/>
      <c r="C60" s="12"/>
      <c r="D60" s="12"/>
      <c r="E60" s="12"/>
      <c r="F60" s="12"/>
      <c r="G60" s="12"/>
      <c r="H60" s="12"/>
    </row>
    <row r="61" spans="1:8" ht="15.75" customHeight="1" x14ac:dyDescent="0.25">
      <c r="A61" s="11" t="s">
        <v>182</v>
      </c>
      <c r="B61" s="11"/>
      <c r="C61" s="11"/>
      <c r="D61" s="11"/>
      <c r="E61" s="11"/>
      <c r="F61" s="11"/>
      <c r="G61" s="11"/>
      <c r="H61" s="11"/>
    </row>
    <row r="62" spans="1:8" ht="15.75" customHeight="1" x14ac:dyDescent="0.25">
      <c r="A62" s="24" t="s">
        <v>183</v>
      </c>
      <c r="B62" s="25" t="s">
        <v>184</v>
      </c>
      <c r="C62" s="26" t="s">
        <v>185</v>
      </c>
      <c r="D62" s="27" t="s">
        <v>186</v>
      </c>
      <c r="E62" s="28" t="s">
        <v>142</v>
      </c>
      <c r="F62" s="29">
        <v>40250</v>
      </c>
      <c r="G62" s="30" t="s">
        <v>187</v>
      </c>
      <c r="H62" s="31" t="s">
        <v>184</v>
      </c>
    </row>
    <row r="63" spans="1:8" ht="15.75" customHeight="1" x14ac:dyDescent="0.25">
      <c r="A63" s="16" t="s">
        <v>188</v>
      </c>
      <c r="B63" s="17" t="s">
        <v>184</v>
      </c>
      <c r="C63" s="18" t="s">
        <v>189</v>
      </c>
      <c r="D63" s="19" t="s">
        <v>190</v>
      </c>
      <c r="E63" s="20" t="s">
        <v>142</v>
      </c>
      <c r="F63" s="21">
        <v>74750</v>
      </c>
      <c r="G63" s="22" t="s">
        <v>187</v>
      </c>
      <c r="H63" s="23" t="s">
        <v>184</v>
      </c>
    </row>
    <row r="64" spans="1:8" ht="15.75" customHeight="1" x14ac:dyDescent="0.25">
      <c r="A64" s="24" t="s">
        <v>191</v>
      </c>
      <c r="B64" s="25" t="s">
        <v>184</v>
      </c>
      <c r="C64" s="26" t="s">
        <v>192</v>
      </c>
      <c r="D64" s="27" t="s">
        <v>193</v>
      </c>
      <c r="E64" s="28" t="s">
        <v>142</v>
      </c>
      <c r="F64" s="29">
        <v>40250</v>
      </c>
      <c r="G64" s="30" t="s">
        <v>187</v>
      </c>
      <c r="H64" s="31" t="s">
        <v>184</v>
      </c>
    </row>
    <row r="65" spans="1:8" ht="15.75" customHeight="1" x14ac:dyDescent="0.25">
      <c r="A65" s="16" t="s">
        <v>194</v>
      </c>
      <c r="B65" s="17" t="s">
        <v>184</v>
      </c>
      <c r="C65" s="18" t="s">
        <v>195</v>
      </c>
      <c r="D65" s="19" t="s">
        <v>196</v>
      </c>
      <c r="E65" s="20" t="s">
        <v>142</v>
      </c>
      <c r="F65" s="21">
        <v>74750</v>
      </c>
      <c r="G65" s="22" t="s">
        <v>187</v>
      </c>
      <c r="H65" s="23" t="s">
        <v>184</v>
      </c>
    </row>
    <row r="66" spans="1:8" ht="15.75" customHeight="1" x14ac:dyDescent="0.25">
      <c r="A66" s="24" t="s">
        <v>197</v>
      </c>
      <c r="B66" s="25" t="s">
        <v>184</v>
      </c>
      <c r="C66" s="26" t="s">
        <v>198</v>
      </c>
      <c r="D66" s="27" t="s">
        <v>199</v>
      </c>
      <c r="E66" s="28" t="s">
        <v>142</v>
      </c>
      <c r="F66" s="29">
        <v>10350</v>
      </c>
      <c r="G66" s="30" t="s">
        <v>187</v>
      </c>
      <c r="H66" s="31" t="s">
        <v>184</v>
      </c>
    </row>
    <row r="67" spans="1:8" ht="15.75" customHeight="1" x14ac:dyDescent="0.25">
      <c r="A67" s="16" t="s">
        <v>200</v>
      </c>
      <c r="B67" s="17" t="s">
        <v>184</v>
      </c>
      <c r="C67" s="18" t="s">
        <v>201</v>
      </c>
      <c r="D67" s="19" t="s">
        <v>202</v>
      </c>
      <c r="E67" s="20" t="s">
        <v>142</v>
      </c>
      <c r="F67" s="21">
        <v>13800</v>
      </c>
      <c r="G67" s="22" t="s">
        <v>187</v>
      </c>
      <c r="H67" s="23" t="s">
        <v>184</v>
      </c>
    </row>
    <row r="68" spans="1:8" ht="15.75" customHeight="1" x14ac:dyDescent="0.25">
      <c r="A68" s="24" t="s">
        <v>203</v>
      </c>
      <c r="B68" s="25" t="s">
        <v>184</v>
      </c>
      <c r="C68" s="26" t="s">
        <v>204</v>
      </c>
      <c r="D68" s="27" t="s">
        <v>205</v>
      </c>
      <c r="E68" s="28" t="s">
        <v>142</v>
      </c>
      <c r="F68" s="29">
        <v>20700</v>
      </c>
      <c r="G68" s="30" t="s">
        <v>187</v>
      </c>
      <c r="H68" s="31" t="s">
        <v>184</v>
      </c>
    </row>
    <row r="69" spans="1:8" ht="15.75" customHeight="1" x14ac:dyDescent="0.25">
      <c r="A69" s="16" t="s">
        <v>206</v>
      </c>
      <c r="B69" s="17" t="s">
        <v>184</v>
      </c>
      <c r="C69" s="18" t="s">
        <v>207</v>
      </c>
      <c r="D69" s="19" t="s">
        <v>208</v>
      </c>
      <c r="E69" s="20" t="s">
        <v>142</v>
      </c>
      <c r="F69" s="21">
        <v>34500</v>
      </c>
      <c r="G69" s="22" t="s">
        <v>187</v>
      </c>
      <c r="H69" s="23" t="s">
        <v>184</v>
      </c>
    </row>
    <row r="70" spans="1:8" ht="15.75" customHeight="1" x14ac:dyDescent="0.25">
      <c r="A70" s="24" t="s">
        <v>209</v>
      </c>
      <c r="B70" s="25" t="s">
        <v>184</v>
      </c>
      <c r="C70" s="26" t="s">
        <v>210</v>
      </c>
      <c r="D70" s="27" t="s">
        <v>211</v>
      </c>
      <c r="E70" s="28" t="s">
        <v>142</v>
      </c>
      <c r="F70" s="29">
        <v>18400</v>
      </c>
      <c r="G70" s="30" t="s">
        <v>187</v>
      </c>
      <c r="H70" s="31" t="s">
        <v>184</v>
      </c>
    </row>
    <row r="71" spans="1:8" ht="15.75" customHeight="1" x14ac:dyDescent="0.25">
      <c r="A71" s="16" t="s">
        <v>212</v>
      </c>
      <c r="B71" s="17" t="s">
        <v>184</v>
      </c>
      <c r="C71" s="18" t="s">
        <v>213</v>
      </c>
      <c r="D71" s="19" t="s">
        <v>214</v>
      </c>
      <c r="E71" s="20" t="s">
        <v>142</v>
      </c>
      <c r="F71" s="21">
        <v>20700</v>
      </c>
      <c r="G71" s="22" t="s">
        <v>187</v>
      </c>
      <c r="H71" s="23" t="s">
        <v>184</v>
      </c>
    </row>
    <row r="72" spans="1:8" ht="15.75" customHeight="1" x14ac:dyDescent="0.25">
      <c r="A72" s="24" t="s">
        <v>215</v>
      </c>
      <c r="B72" s="25" t="s">
        <v>184</v>
      </c>
      <c r="C72" s="26" t="s">
        <v>216</v>
      </c>
      <c r="D72" s="27" t="s">
        <v>217</v>
      </c>
      <c r="E72" s="28" t="s">
        <v>142</v>
      </c>
      <c r="F72" s="29">
        <v>6900</v>
      </c>
      <c r="G72" s="30" t="s">
        <v>187</v>
      </c>
      <c r="H72" s="31" t="s">
        <v>184</v>
      </c>
    </row>
    <row r="73" spans="1:8" ht="15.75" customHeight="1" x14ac:dyDescent="0.25">
      <c r="A73" s="16" t="s">
        <v>218</v>
      </c>
      <c r="B73" s="17" t="s">
        <v>184</v>
      </c>
      <c r="C73" s="18" t="s">
        <v>219</v>
      </c>
      <c r="D73" s="19" t="s">
        <v>220</v>
      </c>
      <c r="E73" s="20" t="s">
        <v>142</v>
      </c>
      <c r="F73" s="21">
        <v>67275</v>
      </c>
      <c r="G73" s="22" t="s">
        <v>221</v>
      </c>
      <c r="H73" s="23" t="s">
        <v>184</v>
      </c>
    </row>
    <row r="74" spans="1:8" ht="15.75" customHeight="1" x14ac:dyDescent="0.25">
      <c r="A74" s="24" t="s">
        <v>222</v>
      </c>
      <c r="B74" s="25" t="s">
        <v>184</v>
      </c>
      <c r="C74" s="26" t="s">
        <v>223</v>
      </c>
      <c r="D74" s="27" t="s">
        <v>224</v>
      </c>
      <c r="E74" s="28" t="s">
        <v>142</v>
      </c>
      <c r="F74" s="29">
        <v>43125</v>
      </c>
      <c r="G74" s="30" t="s">
        <v>221</v>
      </c>
      <c r="H74" s="31" t="s">
        <v>184</v>
      </c>
    </row>
    <row r="75" spans="1:8" ht="15.75" customHeight="1" x14ac:dyDescent="0.25">
      <c r="A75" s="11" t="s">
        <v>225</v>
      </c>
      <c r="B75" s="11"/>
      <c r="C75" s="11"/>
      <c r="D75" s="11"/>
      <c r="E75" s="11"/>
      <c r="F75" s="11"/>
      <c r="G75" s="11"/>
      <c r="H75" s="11"/>
    </row>
    <row r="76" spans="1:8" ht="15.75" customHeight="1" x14ac:dyDescent="0.25">
      <c r="A76" s="24" t="s">
        <v>226</v>
      </c>
      <c r="B76" s="25" t="s">
        <v>184</v>
      </c>
      <c r="C76" s="26" t="s">
        <v>227</v>
      </c>
      <c r="D76" s="27" t="s">
        <v>228</v>
      </c>
      <c r="E76" s="28" t="s">
        <v>142</v>
      </c>
      <c r="F76" s="29">
        <v>8050</v>
      </c>
      <c r="G76" s="30" t="s">
        <v>229</v>
      </c>
      <c r="H76" s="31" t="s">
        <v>184</v>
      </c>
    </row>
    <row r="77" spans="1:8" ht="15.75" customHeight="1" x14ac:dyDescent="0.25">
      <c r="A77" s="16" t="s">
        <v>230</v>
      </c>
      <c r="B77" s="17" t="s">
        <v>184</v>
      </c>
      <c r="C77" s="18" t="s">
        <v>231</v>
      </c>
      <c r="D77" s="19" t="s">
        <v>232</v>
      </c>
      <c r="E77" s="20" t="s">
        <v>142</v>
      </c>
      <c r="F77" s="21">
        <v>8050</v>
      </c>
      <c r="G77" s="22" t="s">
        <v>229</v>
      </c>
      <c r="H77" s="23" t="s">
        <v>184</v>
      </c>
    </row>
    <row r="78" spans="1:8" ht="15.75" customHeight="1" x14ac:dyDescent="0.25">
      <c r="A78" s="24" t="s">
        <v>233</v>
      </c>
      <c r="B78" s="25" t="s">
        <v>184</v>
      </c>
      <c r="C78" s="26" t="s">
        <v>234</v>
      </c>
      <c r="D78" s="27" t="s">
        <v>235</v>
      </c>
      <c r="E78" s="28" t="s">
        <v>142</v>
      </c>
      <c r="F78" s="29">
        <v>10350</v>
      </c>
      <c r="G78" s="30" t="s">
        <v>229</v>
      </c>
      <c r="H78" s="31" t="s">
        <v>184</v>
      </c>
    </row>
    <row r="79" spans="1:8" ht="15.75" customHeight="1" x14ac:dyDescent="0.25">
      <c r="A79" s="16" t="s">
        <v>236</v>
      </c>
      <c r="B79" s="17" t="s">
        <v>184</v>
      </c>
      <c r="C79" s="18" t="s">
        <v>237</v>
      </c>
      <c r="D79" s="19" t="s">
        <v>238</v>
      </c>
      <c r="E79" s="20" t="s">
        <v>142</v>
      </c>
      <c r="F79" s="21">
        <v>46000</v>
      </c>
      <c r="G79" s="22" t="s">
        <v>229</v>
      </c>
      <c r="H79" s="23" t="s">
        <v>184</v>
      </c>
    </row>
    <row r="80" spans="1:8" ht="15.75" customHeight="1" x14ac:dyDescent="0.25">
      <c r="A80" s="24" t="s">
        <v>239</v>
      </c>
      <c r="B80" s="25" t="s">
        <v>184</v>
      </c>
      <c r="C80" s="26" t="s">
        <v>240</v>
      </c>
      <c r="D80" s="27" t="s">
        <v>241</v>
      </c>
      <c r="E80" s="28" t="s">
        <v>142</v>
      </c>
      <c r="F80" s="29">
        <v>4197500</v>
      </c>
      <c r="G80" s="30" t="s">
        <v>229</v>
      </c>
      <c r="H80" s="31" t="s">
        <v>184</v>
      </c>
    </row>
    <row r="81" spans="1:8" ht="15.75" customHeight="1" x14ac:dyDescent="0.25">
      <c r="A81" s="16" t="s">
        <v>242</v>
      </c>
      <c r="B81" s="17" t="s">
        <v>184</v>
      </c>
      <c r="C81" s="18" t="s">
        <v>243</v>
      </c>
      <c r="D81" s="19" t="s">
        <v>244</v>
      </c>
      <c r="E81" s="20" t="s">
        <v>142</v>
      </c>
      <c r="F81" s="21">
        <v>5750</v>
      </c>
      <c r="G81" s="22" t="s">
        <v>229</v>
      </c>
      <c r="H81" s="23" t="s">
        <v>184</v>
      </c>
    </row>
    <row r="82" spans="1:8" ht="15.75" customHeight="1" x14ac:dyDescent="0.25">
      <c r="A82" s="24" t="s">
        <v>245</v>
      </c>
      <c r="B82" s="25" t="s">
        <v>184</v>
      </c>
      <c r="C82" s="26" t="s">
        <v>246</v>
      </c>
      <c r="D82" s="27" t="s">
        <v>247</v>
      </c>
      <c r="E82" s="28" t="s">
        <v>142</v>
      </c>
      <c r="F82" s="29">
        <v>8050</v>
      </c>
      <c r="G82" s="30" t="s">
        <v>229</v>
      </c>
      <c r="H82" s="31" t="s">
        <v>184</v>
      </c>
    </row>
    <row r="83" spans="1:8" ht="15.75" customHeight="1" x14ac:dyDescent="0.25">
      <c r="A83" s="16" t="s">
        <v>248</v>
      </c>
      <c r="B83" s="17" t="s">
        <v>184</v>
      </c>
      <c r="C83" s="18" t="s">
        <v>249</v>
      </c>
      <c r="D83" s="19" t="s">
        <v>250</v>
      </c>
      <c r="E83" s="20" t="s">
        <v>142</v>
      </c>
      <c r="F83" s="21">
        <v>5750</v>
      </c>
      <c r="G83" s="22" t="s">
        <v>229</v>
      </c>
      <c r="H83" s="23" t="s">
        <v>184</v>
      </c>
    </row>
    <row r="84" spans="1:8" ht="15.75" customHeight="1" x14ac:dyDescent="0.25">
      <c r="A84" s="24" t="s">
        <v>251</v>
      </c>
      <c r="B84" s="25" t="s">
        <v>184</v>
      </c>
      <c r="C84" s="26" t="s">
        <v>252</v>
      </c>
      <c r="D84" s="27" t="s">
        <v>253</v>
      </c>
      <c r="E84" s="28" t="s">
        <v>142</v>
      </c>
      <c r="F84" s="29">
        <v>5750</v>
      </c>
      <c r="G84" s="30" t="s">
        <v>229</v>
      </c>
      <c r="H84" s="31" t="s">
        <v>184</v>
      </c>
    </row>
    <row r="85" spans="1:8" ht="15.75" customHeight="1" x14ac:dyDescent="0.25">
      <c r="A85" s="16" t="s">
        <v>254</v>
      </c>
      <c r="B85" s="17" t="s">
        <v>184</v>
      </c>
      <c r="C85" s="18" t="s">
        <v>255</v>
      </c>
      <c r="D85" s="19" t="s">
        <v>256</v>
      </c>
      <c r="E85" s="20" t="s">
        <v>142</v>
      </c>
      <c r="F85" s="21">
        <v>5750</v>
      </c>
      <c r="G85" s="22" t="s">
        <v>229</v>
      </c>
      <c r="H85" s="23" t="s">
        <v>184</v>
      </c>
    </row>
    <row r="86" spans="1:8" ht="15.75" customHeight="1" x14ac:dyDescent="0.25">
      <c r="A86" s="24" t="s">
        <v>257</v>
      </c>
      <c r="B86" s="25" t="s">
        <v>184</v>
      </c>
      <c r="C86" s="26" t="s">
        <v>258</v>
      </c>
      <c r="D86" s="27" t="s">
        <v>259</v>
      </c>
      <c r="E86" s="28" t="s">
        <v>142</v>
      </c>
      <c r="F86" s="29">
        <v>8050</v>
      </c>
      <c r="G86" s="30" t="s">
        <v>229</v>
      </c>
      <c r="H86" s="31" t="s">
        <v>184</v>
      </c>
    </row>
    <row r="87" spans="1:8" ht="15.75" customHeight="1" x14ac:dyDescent="0.25">
      <c r="A87" s="11" t="s">
        <v>260</v>
      </c>
      <c r="B87" s="11"/>
      <c r="C87" s="11"/>
      <c r="D87" s="11"/>
      <c r="E87" s="11"/>
      <c r="F87" s="11"/>
      <c r="G87" s="11"/>
      <c r="H87" s="11"/>
    </row>
    <row r="88" spans="1:8" ht="15.75" customHeight="1" x14ac:dyDescent="0.25">
      <c r="A88" s="24" t="s">
        <v>261</v>
      </c>
      <c r="B88" s="25" t="s">
        <v>184</v>
      </c>
      <c r="C88" s="26" t="s">
        <v>262</v>
      </c>
      <c r="D88" s="27" t="s">
        <v>263</v>
      </c>
      <c r="E88" s="28" t="s">
        <v>112</v>
      </c>
      <c r="F88" s="29">
        <v>1150</v>
      </c>
      <c r="G88" s="30" t="s">
        <v>264</v>
      </c>
      <c r="H88" s="31" t="s">
        <v>184</v>
      </c>
    </row>
    <row r="89" spans="1:8" ht="15.75" customHeight="1" x14ac:dyDescent="0.25">
      <c r="A89" s="16" t="s">
        <v>265</v>
      </c>
      <c r="B89" s="17" t="s">
        <v>184</v>
      </c>
      <c r="C89" s="18" t="s">
        <v>266</v>
      </c>
      <c r="D89" s="19" t="s">
        <v>267</v>
      </c>
      <c r="E89" s="20" t="s">
        <v>112</v>
      </c>
      <c r="F89" s="21">
        <v>1495</v>
      </c>
      <c r="G89" s="22" t="s">
        <v>264</v>
      </c>
      <c r="H89" s="23" t="s">
        <v>184</v>
      </c>
    </row>
    <row r="90" spans="1:8" ht="15.75" customHeight="1" x14ac:dyDescent="0.25">
      <c r="A90" s="24" t="s">
        <v>268</v>
      </c>
      <c r="B90" s="25" t="s">
        <v>184</v>
      </c>
      <c r="C90" s="26" t="s">
        <v>269</v>
      </c>
      <c r="D90" s="27" t="s">
        <v>270</v>
      </c>
      <c r="E90" s="28" t="s">
        <v>112</v>
      </c>
      <c r="F90" s="29">
        <v>5750</v>
      </c>
      <c r="G90" s="30" t="s">
        <v>264</v>
      </c>
      <c r="H90" s="31" t="s">
        <v>184</v>
      </c>
    </row>
    <row r="91" spans="1:8" ht="15.75" customHeight="1" x14ac:dyDescent="0.25">
      <c r="A91" s="16" t="s">
        <v>271</v>
      </c>
      <c r="B91" s="17" t="s">
        <v>184</v>
      </c>
      <c r="C91" s="18" t="s">
        <v>272</v>
      </c>
      <c r="D91" s="19" t="s">
        <v>273</v>
      </c>
      <c r="E91" s="20" t="s">
        <v>112</v>
      </c>
      <c r="F91" s="21">
        <v>16100</v>
      </c>
      <c r="G91" s="22" t="s">
        <v>264</v>
      </c>
      <c r="H91" s="23" t="s">
        <v>184</v>
      </c>
    </row>
    <row r="92" spans="1:8" ht="15.75" customHeight="1" x14ac:dyDescent="0.25">
      <c r="A92" s="24" t="s">
        <v>274</v>
      </c>
      <c r="B92" s="25" t="s">
        <v>184</v>
      </c>
      <c r="C92" s="26" t="s">
        <v>275</v>
      </c>
      <c r="D92" s="27" t="s">
        <v>276</v>
      </c>
      <c r="E92" s="28" t="s">
        <v>112</v>
      </c>
      <c r="F92" s="29">
        <v>27025</v>
      </c>
      <c r="G92" s="30" t="s">
        <v>264</v>
      </c>
      <c r="H92" s="31" t="s">
        <v>184</v>
      </c>
    </row>
    <row r="93" spans="1:8" ht="15.75" customHeight="1" x14ac:dyDescent="0.25">
      <c r="A93" s="16" t="s">
        <v>277</v>
      </c>
      <c r="B93" s="17" t="s">
        <v>184</v>
      </c>
      <c r="C93" s="18" t="s">
        <v>278</v>
      </c>
      <c r="D93" s="19" t="s">
        <v>279</v>
      </c>
      <c r="E93" s="20" t="s">
        <v>112</v>
      </c>
      <c r="F93" s="21">
        <v>46000</v>
      </c>
      <c r="G93" s="22" t="s">
        <v>264</v>
      </c>
      <c r="H93" s="23" t="s">
        <v>184</v>
      </c>
    </row>
    <row r="94" spans="1:8" ht="15.75" customHeight="1" x14ac:dyDescent="0.25">
      <c r="A94" s="24" t="s">
        <v>280</v>
      </c>
      <c r="B94" s="25" t="s">
        <v>184</v>
      </c>
      <c r="C94" s="26" t="s">
        <v>281</v>
      </c>
      <c r="D94" s="27" t="s">
        <v>282</v>
      </c>
      <c r="E94" s="28" t="s">
        <v>112</v>
      </c>
      <c r="F94" s="29">
        <v>14375</v>
      </c>
      <c r="G94" s="30" t="s">
        <v>264</v>
      </c>
      <c r="H94" s="31" t="s">
        <v>184</v>
      </c>
    </row>
    <row r="95" spans="1:8" ht="15.75" customHeight="1" x14ac:dyDescent="0.25">
      <c r="A95" s="16" t="s">
        <v>283</v>
      </c>
      <c r="B95" s="17" t="s">
        <v>184</v>
      </c>
      <c r="C95" s="18" t="s">
        <v>284</v>
      </c>
      <c r="D95" s="19" t="s">
        <v>285</v>
      </c>
      <c r="E95" s="20" t="s">
        <v>142</v>
      </c>
      <c r="F95" s="21">
        <v>51750</v>
      </c>
      <c r="G95" s="22" t="s">
        <v>264</v>
      </c>
      <c r="H95" s="23" t="s">
        <v>184</v>
      </c>
    </row>
    <row r="96" spans="1:8" ht="15.75" customHeight="1" x14ac:dyDescent="0.25">
      <c r="A96" s="24" t="s">
        <v>286</v>
      </c>
      <c r="B96" s="25" t="s">
        <v>184</v>
      </c>
      <c r="C96" s="26" t="s">
        <v>287</v>
      </c>
      <c r="D96" s="27" t="s">
        <v>288</v>
      </c>
      <c r="E96" s="28" t="s">
        <v>142</v>
      </c>
      <c r="F96" s="29">
        <v>43700</v>
      </c>
      <c r="G96" s="30" t="s">
        <v>264</v>
      </c>
      <c r="H96" s="31" t="s">
        <v>184</v>
      </c>
    </row>
    <row r="97" spans="1:8" ht="15.75" customHeight="1" x14ac:dyDescent="0.25">
      <c r="A97" s="16" t="s">
        <v>289</v>
      </c>
      <c r="B97" s="17" t="s">
        <v>184</v>
      </c>
      <c r="C97" s="18" t="s">
        <v>290</v>
      </c>
      <c r="D97" s="19" t="s">
        <v>291</v>
      </c>
      <c r="E97" s="20" t="s">
        <v>142</v>
      </c>
      <c r="F97" s="21">
        <v>34500</v>
      </c>
      <c r="G97" s="22" t="s">
        <v>264</v>
      </c>
      <c r="H97" s="23" t="s">
        <v>184</v>
      </c>
    </row>
    <row r="98" spans="1:8" ht="15.75" customHeight="1" x14ac:dyDescent="0.25">
      <c r="A98" s="24" t="s">
        <v>292</v>
      </c>
      <c r="B98" s="25" t="s">
        <v>184</v>
      </c>
      <c r="C98" s="26" t="s">
        <v>293</v>
      </c>
      <c r="D98" s="27" t="s">
        <v>294</v>
      </c>
      <c r="E98" s="28" t="s">
        <v>142</v>
      </c>
      <c r="F98" s="29">
        <v>28750</v>
      </c>
      <c r="G98" s="30" t="s">
        <v>264</v>
      </c>
      <c r="H98" s="31" t="s">
        <v>184</v>
      </c>
    </row>
    <row r="99" spans="1:8" ht="15.75" customHeight="1" x14ac:dyDescent="0.25">
      <c r="A99" s="16" t="s">
        <v>295</v>
      </c>
      <c r="B99" s="17" t="s">
        <v>184</v>
      </c>
      <c r="C99" s="18" t="s">
        <v>296</v>
      </c>
      <c r="D99" s="19" t="s">
        <v>297</v>
      </c>
      <c r="E99" s="20" t="s">
        <v>142</v>
      </c>
      <c r="F99" s="21">
        <v>26450</v>
      </c>
      <c r="G99" s="22" t="s">
        <v>264</v>
      </c>
      <c r="H99" s="23" t="s">
        <v>184</v>
      </c>
    </row>
    <row r="100" spans="1:8" ht="15.75" customHeight="1" x14ac:dyDescent="0.25">
      <c r="A100" s="24" t="s">
        <v>298</v>
      </c>
      <c r="B100" s="25" t="s">
        <v>184</v>
      </c>
      <c r="C100" s="26" t="s">
        <v>299</v>
      </c>
      <c r="D100" s="27" t="s">
        <v>300</v>
      </c>
      <c r="E100" s="28" t="s">
        <v>112</v>
      </c>
      <c r="F100" s="29">
        <v>26500</v>
      </c>
      <c r="G100" s="30" t="s">
        <v>264</v>
      </c>
      <c r="H100" s="31" t="s">
        <v>184</v>
      </c>
    </row>
    <row r="101" spans="1:8" ht="15.75" customHeight="1" x14ac:dyDescent="0.25">
      <c r="A101" s="16" t="s">
        <v>301</v>
      </c>
      <c r="B101" s="17" t="s">
        <v>184</v>
      </c>
      <c r="C101" s="18" t="s">
        <v>302</v>
      </c>
      <c r="D101" s="19" t="s">
        <v>303</v>
      </c>
      <c r="E101" s="20" t="s">
        <v>142</v>
      </c>
      <c r="F101" s="21">
        <v>368000</v>
      </c>
      <c r="G101" s="22" t="s">
        <v>264</v>
      </c>
      <c r="H101" s="23" t="s">
        <v>184</v>
      </c>
    </row>
    <row r="102" spans="1:8" ht="15.75" customHeight="1" x14ac:dyDescent="0.25">
      <c r="A102" s="24" t="s">
        <v>304</v>
      </c>
      <c r="B102" s="25" t="s">
        <v>184</v>
      </c>
      <c r="C102" s="26" t="s">
        <v>305</v>
      </c>
      <c r="D102" s="27" t="s">
        <v>306</v>
      </c>
      <c r="E102" s="28" t="s">
        <v>142</v>
      </c>
      <c r="F102" s="29">
        <v>10350000</v>
      </c>
      <c r="G102" s="30" t="s">
        <v>264</v>
      </c>
      <c r="H102" s="31" t="s">
        <v>184</v>
      </c>
    </row>
    <row r="103" spans="1:8" ht="15.75" customHeight="1" x14ac:dyDescent="0.25">
      <c r="A103" s="11" t="s">
        <v>307</v>
      </c>
      <c r="B103" s="11"/>
      <c r="C103" s="11"/>
      <c r="D103" s="11"/>
      <c r="E103" s="11"/>
      <c r="F103" s="11"/>
      <c r="G103" s="11"/>
      <c r="H103" s="11"/>
    </row>
    <row r="104" spans="1:8" ht="15.75" customHeight="1" x14ac:dyDescent="0.25">
      <c r="A104" s="24" t="s">
        <v>308</v>
      </c>
      <c r="B104" s="25" t="s">
        <v>184</v>
      </c>
      <c r="C104" s="26" t="s">
        <v>309</v>
      </c>
      <c r="D104" s="27" t="s">
        <v>310</v>
      </c>
      <c r="E104" s="28" t="s">
        <v>142</v>
      </c>
      <c r="F104" s="29">
        <v>8050000</v>
      </c>
      <c r="G104" s="30" t="s">
        <v>311</v>
      </c>
      <c r="H104" s="31" t="s">
        <v>184</v>
      </c>
    </row>
    <row r="105" spans="1:8" ht="15.75" customHeight="1" x14ac:dyDescent="0.25">
      <c r="A105" s="16" t="s">
        <v>312</v>
      </c>
      <c r="B105" s="17" t="s">
        <v>184</v>
      </c>
      <c r="C105" s="18" t="s">
        <v>313</v>
      </c>
      <c r="D105" s="19" t="s">
        <v>314</v>
      </c>
      <c r="E105" s="20" t="s">
        <v>142</v>
      </c>
      <c r="F105" s="21">
        <v>2127500</v>
      </c>
      <c r="G105" s="22" t="s">
        <v>311</v>
      </c>
      <c r="H105" s="23" t="s">
        <v>184</v>
      </c>
    </row>
    <row r="106" spans="1:8" ht="15.75" customHeight="1" x14ac:dyDescent="0.25">
      <c r="A106" s="24" t="s">
        <v>315</v>
      </c>
      <c r="B106" s="25" t="s">
        <v>184</v>
      </c>
      <c r="C106" s="26" t="s">
        <v>316</v>
      </c>
      <c r="D106" s="27" t="s">
        <v>317</v>
      </c>
      <c r="E106" s="28" t="s">
        <v>142</v>
      </c>
      <c r="F106" s="29">
        <v>3542000</v>
      </c>
      <c r="G106" s="30" t="s">
        <v>311</v>
      </c>
      <c r="H106" s="31" t="s">
        <v>184</v>
      </c>
    </row>
    <row r="107" spans="1:8" ht="15.75" customHeight="1" x14ac:dyDescent="0.25">
      <c r="A107" s="16" t="s">
        <v>318</v>
      </c>
      <c r="B107" s="17" t="s">
        <v>184</v>
      </c>
      <c r="C107" s="18" t="s">
        <v>319</v>
      </c>
      <c r="D107" s="19" t="s">
        <v>320</v>
      </c>
      <c r="E107" s="20" t="s">
        <v>142</v>
      </c>
      <c r="F107" s="21">
        <v>977500</v>
      </c>
      <c r="G107" s="22" t="s">
        <v>311</v>
      </c>
      <c r="H107" s="23" t="s">
        <v>184</v>
      </c>
    </row>
    <row r="108" spans="1:8" ht="15.75" customHeight="1" x14ac:dyDescent="0.25">
      <c r="A108" s="24" t="s">
        <v>321</v>
      </c>
      <c r="B108" s="25" t="s">
        <v>184</v>
      </c>
      <c r="C108" s="26" t="s">
        <v>322</v>
      </c>
      <c r="D108" s="27" t="s">
        <v>323</v>
      </c>
      <c r="E108" s="28" t="s">
        <v>16</v>
      </c>
      <c r="F108" s="29">
        <v>17250000</v>
      </c>
      <c r="G108" s="30" t="s">
        <v>324</v>
      </c>
      <c r="H108" s="31" t="s">
        <v>184</v>
      </c>
    </row>
    <row r="109" spans="1:8" ht="15.75" customHeight="1" x14ac:dyDescent="0.25">
      <c r="A109" s="16" t="s">
        <v>325</v>
      </c>
      <c r="B109" s="17" t="s">
        <v>184</v>
      </c>
      <c r="C109" s="18" t="s">
        <v>326</v>
      </c>
      <c r="D109" s="19" t="s">
        <v>327</v>
      </c>
      <c r="E109" s="20" t="s">
        <v>142</v>
      </c>
      <c r="F109" s="21">
        <v>184000</v>
      </c>
      <c r="G109" s="22" t="s">
        <v>328</v>
      </c>
      <c r="H109" s="23" t="s">
        <v>184</v>
      </c>
    </row>
    <row r="110" spans="1:8" ht="15.75" customHeight="1" x14ac:dyDescent="0.25">
      <c r="A110" s="24" t="s">
        <v>329</v>
      </c>
      <c r="B110" s="25" t="s">
        <v>184</v>
      </c>
      <c r="C110" s="26" t="s">
        <v>330</v>
      </c>
      <c r="D110" s="27" t="s">
        <v>331</v>
      </c>
      <c r="E110" s="28" t="s">
        <v>142</v>
      </c>
      <c r="F110" s="29">
        <v>281750</v>
      </c>
      <c r="G110" s="30" t="s">
        <v>328</v>
      </c>
      <c r="H110" s="31" t="s">
        <v>184</v>
      </c>
    </row>
    <row r="111" spans="1:8" ht="15.75" customHeight="1" x14ac:dyDescent="0.25">
      <c r="A111" s="16" t="s">
        <v>332</v>
      </c>
      <c r="B111" s="17" t="s">
        <v>184</v>
      </c>
      <c r="C111" s="18" t="s">
        <v>333</v>
      </c>
      <c r="D111" s="19" t="s">
        <v>334</v>
      </c>
      <c r="E111" s="20" t="s">
        <v>142</v>
      </c>
      <c r="F111" s="21">
        <v>3450000</v>
      </c>
      <c r="G111" s="22" t="s">
        <v>328</v>
      </c>
      <c r="H111" s="23" t="s">
        <v>184</v>
      </c>
    </row>
    <row r="112" spans="1:8" ht="19.5" customHeight="1" x14ac:dyDescent="0.25">
      <c r="A112" s="12" t="s">
        <v>335</v>
      </c>
      <c r="B112" s="12"/>
      <c r="C112" s="12"/>
      <c r="D112" s="12"/>
      <c r="E112" s="12"/>
      <c r="F112" s="12"/>
      <c r="G112" s="12"/>
      <c r="H112" s="12"/>
    </row>
    <row r="113" spans="1:8" ht="15.75" customHeight="1" x14ac:dyDescent="0.25">
      <c r="A113" s="16" t="s">
        <v>336</v>
      </c>
      <c r="B113" s="17" t="s">
        <v>337</v>
      </c>
      <c r="C113" s="18" t="s">
        <v>338</v>
      </c>
      <c r="D113" s="19" t="s">
        <v>339</v>
      </c>
      <c r="E113" s="20" t="s">
        <v>142</v>
      </c>
      <c r="F113" s="21">
        <v>2300000</v>
      </c>
      <c r="G113" s="22" t="s">
        <v>340</v>
      </c>
      <c r="H113" s="23" t="s">
        <v>337</v>
      </c>
    </row>
    <row r="114" spans="1:8" ht="15.75" customHeight="1" x14ac:dyDescent="0.25">
      <c r="A114" s="24" t="s">
        <v>341</v>
      </c>
      <c r="B114" s="25" t="s">
        <v>337</v>
      </c>
      <c r="C114" s="26" t="s">
        <v>342</v>
      </c>
      <c r="D114" s="27" t="s">
        <v>343</v>
      </c>
      <c r="E114" s="28" t="s">
        <v>142</v>
      </c>
      <c r="F114" s="29">
        <v>345000</v>
      </c>
      <c r="G114" s="30" t="s">
        <v>344</v>
      </c>
      <c r="H114" s="31" t="s">
        <v>337</v>
      </c>
    </row>
    <row r="115" spans="1:8" ht="15.75" customHeight="1" x14ac:dyDescent="0.25">
      <c r="A115" s="16" t="s">
        <v>345</v>
      </c>
      <c r="B115" s="17" t="s">
        <v>337</v>
      </c>
      <c r="C115" s="18" t="s">
        <v>346</v>
      </c>
      <c r="D115" s="19" t="s">
        <v>347</v>
      </c>
      <c r="E115" s="20" t="s">
        <v>142</v>
      </c>
      <c r="F115" s="21">
        <v>460000</v>
      </c>
      <c r="G115" s="22" t="s">
        <v>344</v>
      </c>
      <c r="H115" s="23" t="s">
        <v>337</v>
      </c>
    </row>
    <row r="116" spans="1:8" ht="15.75" customHeight="1" x14ac:dyDescent="0.25">
      <c r="A116" s="24" t="s">
        <v>348</v>
      </c>
      <c r="B116" s="25" t="s">
        <v>337</v>
      </c>
      <c r="C116" s="26" t="s">
        <v>349</v>
      </c>
      <c r="D116" s="27" t="s">
        <v>350</v>
      </c>
      <c r="E116" s="28" t="s">
        <v>142</v>
      </c>
      <c r="F116" s="29">
        <v>575000</v>
      </c>
      <c r="G116" s="30" t="s">
        <v>344</v>
      </c>
      <c r="H116" s="31" t="s">
        <v>337</v>
      </c>
    </row>
    <row r="117" spans="1:8" ht="15.75" customHeight="1" x14ac:dyDescent="0.25">
      <c r="A117" s="16" t="s">
        <v>351</v>
      </c>
      <c r="B117" s="17" t="s">
        <v>337</v>
      </c>
      <c r="C117" s="18" t="s">
        <v>352</v>
      </c>
      <c r="D117" s="19" t="s">
        <v>353</v>
      </c>
      <c r="E117" s="20" t="s">
        <v>142</v>
      </c>
      <c r="F117" s="21">
        <v>126500</v>
      </c>
      <c r="G117" s="22" t="s">
        <v>354</v>
      </c>
      <c r="H117" s="23" t="s">
        <v>337</v>
      </c>
    </row>
    <row r="118" spans="1:8" ht="15.75" customHeight="1" x14ac:dyDescent="0.25">
      <c r="A118" s="24" t="s">
        <v>355</v>
      </c>
      <c r="B118" s="25" t="s">
        <v>337</v>
      </c>
      <c r="C118" s="26" t="s">
        <v>356</v>
      </c>
      <c r="D118" s="27" t="s">
        <v>357</v>
      </c>
      <c r="E118" s="28" t="s">
        <v>142</v>
      </c>
      <c r="F118" s="29">
        <v>80500</v>
      </c>
      <c r="G118" s="30" t="s">
        <v>354</v>
      </c>
      <c r="H118" s="31" t="s">
        <v>337</v>
      </c>
    </row>
    <row r="119" spans="1:8" ht="15.75" customHeight="1" x14ac:dyDescent="0.25">
      <c r="A119" s="16" t="s">
        <v>358</v>
      </c>
      <c r="B119" s="17" t="s">
        <v>337</v>
      </c>
      <c r="C119" s="18" t="s">
        <v>359</v>
      </c>
      <c r="D119" s="19" t="s">
        <v>360</v>
      </c>
      <c r="E119" s="20" t="s">
        <v>142</v>
      </c>
      <c r="F119" s="21">
        <v>97750</v>
      </c>
      <c r="G119" s="22" t="s">
        <v>354</v>
      </c>
      <c r="H119" s="23" t="s">
        <v>337</v>
      </c>
    </row>
    <row r="120" spans="1:8" ht="15.75" customHeight="1" x14ac:dyDescent="0.25">
      <c r="A120" s="24" t="s">
        <v>361</v>
      </c>
      <c r="B120" s="25" t="s">
        <v>337</v>
      </c>
      <c r="C120" s="26" t="s">
        <v>362</v>
      </c>
      <c r="D120" s="27" t="s">
        <v>363</v>
      </c>
      <c r="E120" s="28" t="s">
        <v>142</v>
      </c>
      <c r="F120" s="29">
        <v>138000</v>
      </c>
      <c r="G120" s="30" t="s">
        <v>354</v>
      </c>
      <c r="H120" s="31" t="s">
        <v>337</v>
      </c>
    </row>
    <row r="121" spans="1:8" ht="19.5" customHeight="1" x14ac:dyDescent="0.25">
      <c r="A121" s="12" t="s">
        <v>364</v>
      </c>
      <c r="B121" s="12"/>
      <c r="C121" s="12"/>
      <c r="D121" s="12"/>
      <c r="E121" s="12"/>
      <c r="F121" s="12"/>
      <c r="G121" s="12"/>
      <c r="H121" s="12"/>
    </row>
    <row r="122" spans="1:8" ht="15.75" customHeight="1" x14ac:dyDescent="0.25">
      <c r="A122" s="24" t="s">
        <v>365</v>
      </c>
      <c r="B122" s="25" t="s">
        <v>366</v>
      </c>
      <c r="C122" s="26" t="s">
        <v>367</v>
      </c>
      <c r="D122" s="27" t="s">
        <v>368</v>
      </c>
      <c r="E122" s="28" t="s">
        <v>142</v>
      </c>
      <c r="F122" s="29">
        <v>86250</v>
      </c>
      <c r="G122" s="30" t="s">
        <v>369</v>
      </c>
      <c r="H122" s="31" t="s">
        <v>366</v>
      </c>
    </row>
    <row r="123" spans="1:8" ht="15.75" customHeight="1" x14ac:dyDescent="0.25">
      <c r="A123" s="16" t="s">
        <v>370</v>
      </c>
      <c r="B123" s="17" t="s">
        <v>366</v>
      </c>
      <c r="C123" s="18" t="s">
        <v>371</v>
      </c>
      <c r="D123" s="19" t="s">
        <v>372</v>
      </c>
      <c r="E123" s="20" t="s">
        <v>142</v>
      </c>
      <c r="F123" s="21">
        <v>86250</v>
      </c>
      <c r="G123" s="22" t="s">
        <v>369</v>
      </c>
      <c r="H123" s="23" t="s">
        <v>366</v>
      </c>
    </row>
    <row r="124" spans="1:8" ht="15.75" customHeight="1" x14ac:dyDescent="0.25">
      <c r="A124" s="24" t="s">
        <v>373</v>
      </c>
      <c r="B124" s="25" t="s">
        <v>366</v>
      </c>
      <c r="C124" s="26" t="s">
        <v>374</v>
      </c>
      <c r="D124" s="27" t="s">
        <v>375</v>
      </c>
      <c r="E124" s="28" t="s">
        <v>142</v>
      </c>
      <c r="F124" s="29">
        <v>172500</v>
      </c>
      <c r="G124" s="30" t="s">
        <v>369</v>
      </c>
      <c r="H124" s="31" t="s">
        <v>366</v>
      </c>
    </row>
    <row r="125" spans="1:8" ht="15.75" customHeight="1" x14ac:dyDescent="0.25">
      <c r="A125" s="16" t="s">
        <v>376</v>
      </c>
      <c r="B125" s="17" t="s">
        <v>366</v>
      </c>
      <c r="C125" s="18" t="s">
        <v>377</v>
      </c>
      <c r="D125" s="19" t="s">
        <v>378</v>
      </c>
      <c r="E125" s="20" t="s">
        <v>142</v>
      </c>
      <c r="F125" s="21">
        <v>63250</v>
      </c>
      <c r="G125" s="22" t="s">
        <v>369</v>
      </c>
      <c r="H125" s="23" t="s">
        <v>366</v>
      </c>
    </row>
    <row r="126" spans="1:8" ht="15.75" customHeight="1" x14ac:dyDescent="0.25">
      <c r="A126" s="24" t="s">
        <v>379</v>
      </c>
      <c r="B126" s="25" t="s">
        <v>366</v>
      </c>
      <c r="C126" s="26" t="s">
        <v>380</v>
      </c>
      <c r="D126" s="27" t="s">
        <v>381</v>
      </c>
      <c r="E126" s="28" t="s">
        <v>142</v>
      </c>
      <c r="F126" s="29">
        <v>74750</v>
      </c>
      <c r="G126" s="30" t="s">
        <v>369</v>
      </c>
      <c r="H126" s="31" t="s">
        <v>366</v>
      </c>
    </row>
    <row r="127" spans="1:8" ht="15.75" customHeight="1" x14ac:dyDescent="0.25">
      <c r="A127" s="16" t="s">
        <v>382</v>
      </c>
      <c r="B127" s="17" t="s">
        <v>366</v>
      </c>
      <c r="C127" s="18" t="s">
        <v>383</v>
      </c>
      <c r="D127" s="19" t="s">
        <v>384</v>
      </c>
      <c r="E127" s="20" t="s">
        <v>142</v>
      </c>
      <c r="F127" s="21">
        <v>71300</v>
      </c>
      <c r="G127" s="22" t="s">
        <v>369</v>
      </c>
      <c r="H127" s="23" t="s">
        <v>366</v>
      </c>
    </row>
    <row r="128" spans="1:8" ht="15.75" customHeight="1" x14ac:dyDescent="0.25">
      <c r="A128" s="24" t="s">
        <v>385</v>
      </c>
      <c r="B128" s="25" t="s">
        <v>366</v>
      </c>
      <c r="C128" s="26" t="s">
        <v>386</v>
      </c>
      <c r="D128" s="27" t="s">
        <v>387</v>
      </c>
      <c r="E128" s="28" t="s">
        <v>142</v>
      </c>
      <c r="F128" s="29">
        <v>120750</v>
      </c>
      <c r="G128" s="30" t="s">
        <v>369</v>
      </c>
      <c r="H128" s="31" t="s">
        <v>366</v>
      </c>
    </row>
    <row r="129" spans="1:8" ht="15.75" customHeight="1" x14ac:dyDescent="0.25">
      <c r="A129" s="16" t="s">
        <v>388</v>
      </c>
      <c r="B129" s="17" t="s">
        <v>366</v>
      </c>
      <c r="C129" s="18" t="s">
        <v>389</v>
      </c>
      <c r="D129" s="19" t="s">
        <v>390</v>
      </c>
      <c r="E129" s="20" t="s">
        <v>142</v>
      </c>
      <c r="F129" s="21">
        <v>141450</v>
      </c>
      <c r="G129" s="22" t="s">
        <v>369</v>
      </c>
      <c r="H129" s="23" t="s">
        <v>366</v>
      </c>
    </row>
    <row r="130" spans="1:8" ht="15.75" customHeight="1" x14ac:dyDescent="0.25">
      <c r="A130" s="24" t="s">
        <v>391</v>
      </c>
      <c r="B130" s="25" t="s">
        <v>366</v>
      </c>
      <c r="C130" s="26" t="s">
        <v>392</v>
      </c>
      <c r="D130" s="27" t="s">
        <v>393</v>
      </c>
      <c r="E130" s="28" t="s">
        <v>142</v>
      </c>
      <c r="F130" s="29">
        <v>272320</v>
      </c>
      <c r="G130" s="30" t="s">
        <v>394</v>
      </c>
      <c r="H130" s="31" t="s">
        <v>366</v>
      </c>
    </row>
    <row r="131" spans="1:8" ht="15.75" customHeight="1" x14ac:dyDescent="0.25">
      <c r="A131" s="16" t="s">
        <v>395</v>
      </c>
      <c r="B131" s="17" t="s">
        <v>366</v>
      </c>
      <c r="C131" s="18" t="s">
        <v>396</v>
      </c>
      <c r="D131" s="19" t="s">
        <v>397</v>
      </c>
      <c r="E131" s="20" t="s">
        <v>142</v>
      </c>
      <c r="F131" s="21">
        <v>224250</v>
      </c>
      <c r="G131" s="22" t="s">
        <v>394</v>
      </c>
      <c r="H131" s="23" t="s">
        <v>366</v>
      </c>
    </row>
    <row r="132" spans="1:8" ht="15.75" customHeight="1" x14ac:dyDescent="0.25">
      <c r="A132" s="24" t="s">
        <v>398</v>
      </c>
      <c r="B132" s="25" t="s">
        <v>366</v>
      </c>
      <c r="C132" s="26" t="s">
        <v>399</v>
      </c>
      <c r="D132" s="27" t="s">
        <v>400</v>
      </c>
      <c r="E132" s="28" t="s">
        <v>142</v>
      </c>
      <c r="F132" s="29">
        <v>1092500</v>
      </c>
      <c r="G132" s="30" t="s">
        <v>394</v>
      </c>
      <c r="H132" s="31" t="s">
        <v>366</v>
      </c>
    </row>
    <row r="133" spans="1:8" ht="15.75" customHeight="1" x14ac:dyDescent="0.25">
      <c r="A133" s="16" t="s">
        <v>401</v>
      </c>
      <c r="B133" s="17" t="s">
        <v>366</v>
      </c>
      <c r="C133" s="18" t="s">
        <v>402</v>
      </c>
      <c r="D133" s="19" t="s">
        <v>403</v>
      </c>
      <c r="E133" s="20" t="s">
        <v>142</v>
      </c>
      <c r="F133" s="21">
        <v>184000</v>
      </c>
      <c r="G133" s="22" t="s">
        <v>394</v>
      </c>
      <c r="H133" s="23" t="s">
        <v>366</v>
      </c>
    </row>
    <row r="134" spans="1:8" ht="15.75" customHeight="1" x14ac:dyDescent="0.25">
      <c r="A134" s="24" t="s">
        <v>404</v>
      </c>
      <c r="B134" s="25" t="s">
        <v>366</v>
      </c>
      <c r="C134" s="26" t="s">
        <v>405</v>
      </c>
      <c r="D134" s="27" t="s">
        <v>406</v>
      </c>
      <c r="E134" s="28" t="s">
        <v>142</v>
      </c>
      <c r="F134" s="29">
        <v>230000</v>
      </c>
      <c r="G134" s="30" t="s">
        <v>407</v>
      </c>
      <c r="H134" s="31" t="s">
        <v>366</v>
      </c>
    </row>
    <row r="135" spans="1:8" ht="19.5" customHeight="1" x14ac:dyDescent="0.25">
      <c r="A135" s="12" t="s">
        <v>408</v>
      </c>
      <c r="B135" s="12"/>
      <c r="C135" s="12"/>
      <c r="D135" s="12"/>
      <c r="E135" s="12"/>
      <c r="F135" s="12"/>
      <c r="G135" s="12"/>
      <c r="H135" s="12"/>
    </row>
    <row r="136" spans="1:8" ht="15.75" customHeight="1" x14ac:dyDescent="0.25">
      <c r="A136" s="11" t="s">
        <v>409</v>
      </c>
      <c r="B136" s="11"/>
      <c r="C136" s="11"/>
      <c r="D136" s="11"/>
      <c r="E136" s="11"/>
      <c r="F136" s="11"/>
      <c r="G136" s="11"/>
      <c r="H136" s="11"/>
    </row>
    <row r="137" spans="1:8" ht="15.75" customHeight="1" x14ac:dyDescent="0.25">
      <c r="A137" s="16" t="s">
        <v>410</v>
      </c>
      <c r="B137" s="17" t="s">
        <v>411</v>
      </c>
      <c r="C137" s="18" t="s">
        <v>412</v>
      </c>
      <c r="D137" s="19" t="s">
        <v>413</v>
      </c>
      <c r="E137" s="20" t="s">
        <v>40</v>
      </c>
      <c r="F137" s="21">
        <v>264500</v>
      </c>
      <c r="G137" s="22" t="s">
        <v>414</v>
      </c>
      <c r="H137" s="23" t="s">
        <v>411</v>
      </c>
    </row>
    <row r="138" spans="1:8" ht="15.75" customHeight="1" x14ac:dyDescent="0.25">
      <c r="A138" s="24" t="s">
        <v>415</v>
      </c>
      <c r="B138" s="25" t="s">
        <v>411</v>
      </c>
      <c r="C138" s="26" t="s">
        <v>416</v>
      </c>
      <c r="D138" s="27" t="s">
        <v>417</v>
      </c>
      <c r="E138" s="28" t="s">
        <v>142</v>
      </c>
      <c r="F138" s="29">
        <v>517500</v>
      </c>
      <c r="G138" s="30" t="s">
        <v>414</v>
      </c>
      <c r="H138" s="31" t="s">
        <v>411</v>
      </c>
    </row>
    <row r="139" spans="1:8" ht="15.75" customHeight="1" x14ac:dyDescent="0.25">
      <c r="A139" s="16" t="s">
        <v>418</v>
      </c>
      <c r="B139" s="17" t="s">
        <v>411</v>
      </c>
      <c r="C139" s="18" t="s">
        <v>419</v>
      </c>
      <c r="D139" s="19" t="s">
        <v>420</v>
      </c>
      <c r="E139" s="20" t="s">
        <v>142</v>
      </c>
      <c r="F139" s="21">
        <v>126500</v>
      </c>
      <c r="G139" s="22" t="s">
        <v>414</v>
      </c>
      <c r="H139" s="23" t="s">
        <v>411</v>
      </c>
    </row>
    <row r="140" spans="1:8" ht="15.75" customHeight="1" x14ac:dyDescent="0.25">
      <c r="A140" s="24" t="s">
        <v>421</v>
      </c>
      <c r="B140" s="25" t="s">
        <v>411</v>
      </c>
      <c r="C140" s="26" t="s">
        <v>422</v>
      </c>
      <c r="D140" s="27" t="s">
        <v>423</v>
      </c>
      <c r="E140" s="28" t="s">
        <v>142</v>
      </c>
      <c r="F140" s="29">
        <v>109250</v>
      </c>
      <c r="G140" s="30" t="s">
        <v>414</v>
      </c>
      <c r="H140" s="31" t="s">
        <v>411</v>
      </c>
    </row>
    <row r="141" spans="1:8" ht="15.75" customHeight="1" x14ac:dyDescent="0.25">
      <c r="A141" s="16" t="s">
        <v>424</v>
      </c>
      <c r="B141" s="17" t="s">
        <v>411</v>
      </c>
      <c r="C141" s="18" t="s">
        <v>425</v>
      </c>
      <c r="D141" s="19" t="s">
        <v>426</v>
      </c>
      <c r="E141" s="20" t="s">
        <v>142</v>
      </c>
      <c r="F141" s="21">
        <v>201250</v>
      </c>
      <c r="G141" s="22" t="s">
        <v>414</v>
      </c>
      <c r="H141" s="23" t="s">
        <v>411</v>
      </c>
    </row>
    <row r="142" spans="1:8" ht="15.75" customHeight="1" x14ac:dyDescent="0.25">
      <c r="A142" s="24" t="s">
        <v>427</v>
      </c>
      <c r="B142" s="25" t="s">
        <v>411</v>
      </c>
      <c r="C142" s="26" t="s">
        <v>428</v>
      </c>
      <c r="D142" s="27" t="s">
        <v>429</v>
      </c>
      <c r="E142" s="28" t="s">
        <v>142</v>
      </c>
      <c r="F142" s="29">
        <v>247250</v>
      </c>
      <c r="G142" s="30" t="s">
        <v>414</v>
      </c>
      <c r="H142" s="31" t="s">
        <v>411</v>
      </c>
    </row>
    <row r="143" spans="1:8" ht="15.75" customHeight="1" x14ac:dyDescent="0.25">
      <c r="A143" s="16" t="s">
        <v>430</v>
      </c>
      <c r="B143" s="17" t="s">
        <v>411</v>
      </c>
      <c r="C143" s="18" t="s">
        <v>431</v>
      </c>
      <c r="D143" s="19" t="s">
        <v>432</v>
      </c>
      <c r="E143" s="20" t="s">
        <v>142</v>
      </c>
      <c r="F143" s="21">
        <v>316250</v>
      </c>
      <c r="G143" s="22" t="s">
        <v>414</v>
      </c>
      <c r="H143" s="23" t="s">
        <v>411</v>
      </c>
    </row>
    <row r="144" spans="1:8" ht="15.75" customHeight="1" x14ac:dyDescent="0.25">
      <c r="A144" s="11" t="s">
        <v>433</v>
      </c>
      <c r="B144" s="11"/>
      <c r="C144" s="11"/>
      <c r="D144" s="11"/>
      <c r="E144" s="11"/>
      <c r="F144" s="11"/>
      <c r="G144" s="11"/>
      <c r="H144" s="11"/>
    </row>
    <row r="145" spans="1:8" ht="15.75" customHeight="1" x14ac:dyDescent="0.25">
      <c r="A145" s="16" t="s">
        <v>434</v>
      </c>
      <c r="B145" s="17" t="s">
        <v>411</v>
      </c>
      <c r="C145" s="18" t="s">
        <v>435</v>
      </c>
      <c r="D145" s="19" t="s">
        <v>436</v>
      </c>
      <c r="E145" s="20" t="s">
        <v>112</v>
      </c>
      <c r="F145" s="21">
        <v>4255</v>
      </c>
      <c r="G145" s="22" t="s">
        <v>437</v>
      </c>
      <c r="H145" s="23" t="s">
        <v>411</v>
      </c>
    </row>
    <row r="146" spans="1:8" ht="15.75" customHeight="1" x14ac:dyDescent="0.25">
      <c r="A146" s="24" t="s">
        <v>438</v>
      </c>
      <c r="B146" s="25" t="s">
        <v>411</v>
      </c>
      <c r="C146" s="26" t="s">
        <v>439</v>
      </c>
      <c r="D146" s="27" t="s">
        <v>440</v>
      </c>
      <c r="E146" s="28" t="s">
        <v>112</v>
      </c>
      <c r="F146" s="29">
        <v>5635</v>
      </c>
      <c r="G146" s="30" t="s">
        <v>437</v>
      </c>
      <c r="H146" s="31" t="s">
        <v>411</v>
      </c>
    </row>
    <row r="147" spans="1:8" ht="15.75" customHeight="1" x14ac:dyDescent="0.25">
      <c r="A147" s="16" t="s">
        <v>441</v>
      </c>
      <c r="B147" s="17" t="s">
        <v>411</v>
      </c>
      <c r="C147" s="18" t="s">
        <v>442</v>
      </c>
      <c r="D147" s="19" t="s">
        <v>443</v>
      </c>
      <c r="E147" s="20" t="s">
        <v>112</v>
      </c>
      <c r="F147" s="21">
        <v>5980</v>
      </c>
      <c r="G147" s="22" t="s">
        <v>437</v>
      </c>
      <c r="H147" s="23" t="s">
        <v>411</v>
      </c>
    </row>
    <row r="148" spans="1:8" ht="15.75" customHeight="1" x14ac:dyDescent="0.25">
      <c r="A148" s="24" t="s">
        <v>444</v>
      </c>
      <c r="B148" s="25" t="s">
        <v>411</v>
      </c>
      <c r="C148" s="26" t="s">
        <v>445</v>
      </c>
      <c r="D148" s="27" t="s">
        <v>446</v>
      </c>
      <c r="E148" s="28" t="s">
        <v>112</v>
      </c>
      <c r="F148" s="29">
        <v>8050</v>
      </c>
      <c r="G148" s="30" t="s">
        <v>437</v>
      </c>
      <c r="H148" s="31" t="s">
        <v>411</v>
      </c>
    </row>
    <row r="149" spans="1:8" ht="15.75" customHeight="1" x14ac:dyDescent="0.25">
      <c r="A149" s="16" t="s">
        <v>447</v>
      </c>
      <c r="B149" s="17" t="s">
        <v>411</v>
      </c>
      <c r="C149" s="18" t="s">
        <v>448</v>
      </c>
      <c r="D149" s="19" t="s">
        <v>449</v>
      </c>
      <c r="E149" s="20" t="s">
        <v>112</v>
      </c>
      <c r="F149" s="21">
        <v>9545</v>
      </c>
      <c r="G149" s="22" t="s">
        <v>437</v>
      </c>
      <c r="H149" s="23" t="s">
        <v>411</v>
      </c>
    </row>
    <row r="150" spans="1:8" ht="15.75" customHeight="1" x14ac:dyDescent="0.25">
      <c r="A150" s="24" t="s">
        <v>450</v>
      </c>
      <c r="B150" s="25" t="s">
        <v>411</v>
      </c>
      <c r="C150" s="26" t="s">
        <v>451</v>
      </c>
      <c r="D150" s="27" t="s">
        <v>452</v>
      </c>
      <c r="E150" s="28" t="s">
        <v>112</v>
      </c>
      <c r="F150" s="29">
        <v>11224</v>
      </c>
      <c r="G150" s="30" t="s">
        <v>437</v>
      </c>
      <c r="H150" s="31" t="s">
        <v>411</v>
      </c>
    </row>
    <row r="151" spans="1:8" ht="15.75" customHeight="1" x14ac:dyDescent="0.25">
      <c r="A151" s="16" t="s">
        <v>453</v>
      </c>
      <c r="B151" s="17" t="s">
        <v>411</v>
      </c>
      <c r="C151" s="18" t="s">
        <v>454</v>
      </c>
      <c r="D151" s="19" t="s">
        <v>455</v>
      </c>
      <c r="E151" s="20" t="s">
        <v>112</v>
      </c>
      <c r="F151" s="21">
        <v>13915</v>
      </c>
      <c r="G151" s="22" t="s">
        <v>437</v>
      </c>
      <c r="H151" s="23" t="s">
        <v>411</v>
      </c>
    </row>
    <row r="152" spans="1:8" ht="15.75" customHeight="1" x14ac:dyDescent="0.25">
      <c r="A152" s="24" t="s">
        <v>456</v>
      </c>
      <c r="B152" s="25" t="s">
        <v>411</v>
      </c>
      <c r="C152" s="26" t="s">
        <v>457</v>
      </c>
      <c r="D152" s="27" t="s">
        <v>458</v>
      </c>
      <c r="E152" s="28" t="s">
        <v>112</v>
      </c>
      <c r="F152" s="29">
        <v>21327</v>
      </c>
      <c r="G152" s="30" t="s">
        <v>437</v>
      </c>
      <c r="H152" s="31" t="s">
        <v>411</v>
      </c>
    </row>
    <row r="153" spans="1:8" ht="15.75" customHeight="1" x14ac:dyDescent="0.25">
      <c r="A153" s="16" t="s">
        <v>459</v>
      </c>
      <c r="B153" s="17" t="s">
        <v>411</v>
      </c>
      <c r="C153" s="18" t="s">
        <v>460</v>
      </c>
      <c r="D153" s="19" t="s">
        <v>461</v>
      </c>
      <c r="E153" s="20" t="s">
        <v>112</v>
      </c>
      <c r="F153" s="21">
        <v>23575</v>
      </c>
      <c r="G153" s="22" t="s">
        <v>437</v>
      </c>
      <c r="H153" s="23" t="s">
        <v>411</v>
      </c>
    </row>
    <row r="154" spans="1:8" ht="15.75" customHeight="1" x14ac:dyDescent="0.25">
      <c r="A154" s="11" t="s">
        <v>462</v>
      </c>
      <c r="B154" s="11"/>
      <c r="C154" s="11"/>
      <c r="D154" s="11"/>
      <c r="E154" s="11"/>
      <c r="F154" s="11"/>
      <c r="G154" s="11"/>
      <c r="H154" s="11"/>
    </row>
    <row r="155" spans="1:8" ht="15.75" customHeight="1" x14ac:dyDescent="0.25">
      <c r="A155" s="16" t="s">
        <v>463</v>
      </c>
      <c r="B155" s="17" t="s">
        <v>411</v>
      </c>
      <c r="C155" s="18" t="s">
        <v>464</v>
      </c>
      <c r="D155" s="19" t="s">
        <v>465</v>
      </c>
      <c r="E155" s="20" t="s">
        <v>112</v>
      </c>
      <c r="F155" s="21">
        <v>5980</v>
      </c>
      <c r="G155" s="22" t="s">
        <v>466</v>
      </c>
      <c r="H155" s="23" t="s">
        <v>411</v>
      </c>
    </row>
    <row r="156" spans="1:8" ht="15.75" customHeight="1" x14ac:dyDescent="0.25">
      <c r="A156" s="24" t="s">
        <v>467</v>
      </c>
      <c r="B156" s="25" t="s">
        <v>411</v>
      </c>
      <c r="C156" s="26" t="s">
        <v>468</v>
      </c>
      <c r="D156" s="27" t="s">
        <v>469</v>
      </c>
      <c r="E156" s="28" t="s">
        <v>112</v>
      </c>
      <c r="F156" s="29">
        <v>5405</v>
      </c>
      <c r="G156" s="30" t="s">
        <v>466</v>
      </c>
      <c r="H156" s="31" t="s">
        <v>411</v>
      </c>
    </row>
    <row r="157" spans="1:8" ht="15.75" customHeight="1" x14ac:dyDescent="0.25">
      <c r="A157" s="16" t="s">
        <v>470</v>
      </c>
      <c r="B157" s="17" t="s">
        <v>411</v>
      </c>
      <c r="C157" s="18" t="s">
        <v>471</v>
      </c>
      <c r="D157" s="19" t="s">
        <v>472</v>
      </c>
      <c r="E157" s="20" t="s">
        <v>112</v>
      </c>
      <c r="F157" s="21">
        <v>4830</v>
      </c>
      <c r="G157" s="22" t="s">
        <v>466</v>
      </c>
      <c r="H157" s="23" t="s">
        <v>411</v>
      </c>
    </row>
    <row r="158" spans="1:8" ht="15.75" customHeight="1" x14ac:dyDescent="0.25">
      <c r="A158" s="24" t="s">
        <v>473</v>
      </c>
      <c r="B158" s="25" t="s">
        <v>411</v>
      </c>
      <c r="C158" s="26" t="s">
        <v>474</v>
      </c>
      <c r="D158" s="27" t="s">
        <v>475</v>
      </c>
      <c r="E158" s="28" t="s">
        <v>112</v>
      </c>
      <c r="F158" s="29">
        <v>4255</v>
      </c>
      <c r="G158" s="30" t="s">
        <v>466</v>
      </c>
      <c r="H158" s="31" t="s">
        <v>411</v>
      </c>
    </row>
    <row r="159" spans="1:8" ht="15.75" customHeight="1" x14ac:dyDescent="0.25">
      <c r="A159" s="16" t="s">
        <v>476</v>
      </c>
      <c r="B159" s="17" t="s">
        <v>411</v>
      </c>
      <c r="C159" s="18" t="s">
        <v>477</v>
      </c>
      <c r="D159" s="19" t="s">
        <v>478</v>
      </c>
      <c r="E159" s="20" t="s">
        <v>112</v>
      </c>
      <c r="F159" s="21">
        <v>3450</v>
      </c>
      <c r="G159" s="22" t="s">
        <v>479</v>
      </c>
      <c r="H159" s="23" t="s">
        <v>411</v>
      </c>
    </row>
    <row r="160" spans="1:8" ht="15.75" customHeight="1" x14ac:dyDescent="0.25">
      <c r="A160" s="24" t="s">
        <v>480</v>
      </c>
      <c r="B160" s="25" t="s">
        <v>411</v>
      </c>
      <c r="C160" s="26" t="s">
        <v>481</v>
      </c>
      <c r="D160" s="27" t="s">
        <v>482</v>
      </c>
      <c r="E160" s="28" t="s">
        <v>112</v>
      </c>
      <c r="F160" s="29">
        <v>4255</v>
      </c>
      <c r="G160" s="30" t="s">
        <v>479</v>
      </c>
      <c r="H160" s="31" t="s">
        <v>411</v>
      </c>
    </row>
    <row r="161" spans="1:8" ht="15.75" customHeight="1" x14ac:dyDescent="0.25">
      <c r="A161" s="16" t="s">
        <v>483</v>
      </c>
      <c r="B161" s="17" t="s">
        <v>411</v>
      </c>
      <c r="C161" s="18" t="s">
        <v>484</v>
      </c>
      <c r="D161" s="19" t="s">
        <v>485</v>
      </c>
      <c r="E161" s="20" t="s">
        <v>112</v>
      </c>
      <c r="F161" s="21">
        <v>4830</v>
      </c>
      <c r="G161" s="22" t="s">
        <v>479</v>
      </c>
      <c r="H161" s="23" t="s">
        <v>411</v>
      </c>
    </row>
    <row r="162" spans="1:8" ht="15.75" customHeight="1" x14ac:dyDescent="0.25">
      <c r="A162" s="24" t="s">
        <v>486</v>
      </c>
      <c r="B162" s="25" t="s">
        <v>411</v>
      </c>
      <c r="C162" s="26" t="s">
        <v>487</v>
      </c>
      <c r="D162" s="27" t="s">
        <v>488</v>
      </c>
      <c r="E162" s="28" t="s">
        <v>112</v>
      </c>
      <c r="F162" s="29">
        <v>7475</v>
      </c>
      <c r="G162" s="30" t="s">
        <v>479</v>
      </c>
      <c r="H162" s="31" t="s">
        <v>411</v>
      </c>
    </row>
    <row r="163" spans="1:8" ht="15.75" customHeight="1" x14ac:dyDescent="0.25">
      <c r="A163" s="16" t="s">
        <v>489</v>
      </c>
      <c r="B163" s="17" t="s">
        <v>411</v>
      </c>
      <c r="C163" s="18" t="s">
        <v>490</v>
      </c>
      <c r="D163" s="19" t="s">
        <v>491</v>
      </c>
      <c r="E163" s="20" t="s">
        <v>142</v>
      </c>
      <c r="F163" s="21">
        <v>50600</v>
      </c>
      <c r="G163" s="22" t="s">
        <v>479</v>
      </c>
      <c r="H163" s="23" t="s">
        <v>411</v>
      </c>
    </row>
    <row r="164" spans="1:8" ht="15.75" customHeight="1" x14ac:dyDescent="0.25">
      <c r="A164" s="24" t="s">
        <v>492</v>
      </c>
      <c r="B164" s="25" t="s">
        <v>411</v>
      </c>
      <c r="C164" s="26" t="s">
        <v>493</v>
      </c>
      <c r="D164" s="27" t="s">
        <v>494</v>
      </c>
      <c r="E164" s="28" t="s">
        <v>16</v>
      </c>
      <c r="F164" s="29">
        <v>1725000</v>
      </c>
      <c r="G164" s="30" t="s">
        <v>495</v>
      </c>
      <c r="H164" s="31" t="s">
        <v>411</v>
      </c>
    </row>
    <row r="165" spans="1:8" ht="15.75" customHeight="1" x14ac:dyDescent="0.25">
      <c r="A165" s="16" t="s">
        <v>496</v>
      </c>
      <c r="B165" s="17" t="s">
        <v>411</v>
      </c>
      <c r="C165" s="18" t="s">
        <v>497</v>
      </c>
      <c r="D165" s="19" t="s">
        <v>498</v>
      </c>
      <c r="E165" s="20" t="s">
        <v>142</v>
      </c>
      <c r="F165" s="21">
        <v>402500</v>
      </c>
      <c r="G165" s="22" t="s">
        <v>499</v>
      </c>
      <c r="H165" s="23" t="s">
        <v>411</v>
      </c>
    </row>
    <row r="166" spans="1:8" ht="15.75" customHeight="1" x14ac:dyDescent="0.25">
      <c r="A166" s="24" t="s">
        <v>500</v>
      </c>
      <c r="B166" s="25" t="s">
        <v>411</v>
      </c>
      <c r="C166" s="26" t="s">
        <v>501</v>
      </c>
      <c r="D166" s="27" t="s">
        <v>502</v>
      </c>
      <c r="E166" s="28" t="s">
        <v>142</v>
      </c>
      <c r="F166" s="29">
        <v>11500</v>
      </c>
      <c r="G166" s="30" t="s">
        <v>499</v>
      </c>
      <c r="H166" s="31" t="s">
        <v>411</v>
      </c>
    </row>
    <row r="167" spans="1:8" ht="15.75" customHeight="1" x14ac:dyDescent="0.25">
      <c r="A167" s="16" t="s">
        <v>503</v>
      </c>
      <c r="B167" s="17" t="s">
        <v>411</v>
      </c>
      <c r="C167" s="18" t="s">
        <v>504</v>
      </c>
      <c r="D167" s="19" t="s">
        <v>505</v>
      </c>
      <c r="E167" s="20" t="s">
        <v>112</v>
      </c>
      <c r="F167" s="21">
        <v>14375</v>
      </c>
      <c r="G167" s="22" t="s">
        <v>506</v>
      </c>
      <c r="H167" s="23" t="s">
        <v>411</v>
      </c>
    </row>
    <row r="168" spans="1:8" ht="15.75" customHeight="1" x14ac:dyDescent="0.25">
      <c r="A168" s="24" t="s">
        <v>507</v>
      </c>
      <c r="B168" s="25" t="s">
        <v>411</v>
      </c>
      <c r="C168" s="26" t="s">
        <v>508</v>
      </c>
      <c r="D168" s="27" t="s">
        <v>509</v>
      </c>
      <c r="E168" s="28" t="s">
        <v>112</v>
      </c>
      <c r="F168" s="29">
        <v>19550</v>
      </c>
      <c r="G168" s="30" t="s">
        <v>506</v>
      </c>
      <c r="H168" s="31" t="s">
        <v>411</v>
      </c>
    </row>
    <row r="169" spans="1:8" ht="15.75" customHeight="1" x14ac:dyDescent="0.25">
      <c r="A169" s="16" t="s">
        <v>510</v>
      </c>
      <c r="B169" s="17" t="s">
        <v>411</v>
      </c>
      <c r="C169" s="18" t="s">
        <v>511</v>
      </c>
      <c r="D169" s="19" t="s">
        <v>512</v>
      </c>
      <c r="E169" s="20" t="s">
        <v>112</v>
      </c>
      <c r="F169" s="21">
        <v>29210</v>
      </c>
      <c r="G169" s="22" t="s">
        <v>506</v>
      </c>
      <c r="H169" s="23" t="s">
        <v>411</v>
      </c>
    </row>
    <row r="170" spans="1:8" ht="19.5" customHeight="1" x14ac:dyDescent="0.25">
      <c r="A170" s="12" t="s">
        <v>513</v>
      </c>
      <c r="B170" s="12"/>
      <c r="C170" s="12"/>
      <c r="D170" s="12"/>
      <c r="E170" s="12"/>
      <c r="F170" s="12"/>
      <c r="G170" s="12"/>
      <c r="H170" s="12"/>
    </row>
    <row r="171" spans="1:8" ht="15.75" customHeight="1" x14ac:dyDescent="0.25">
      <c r="A171" s="16" t="s">
        <v>514</v>
      </c>
      <c r="B171" s="17" t="s">
        <v>515</v>
      </c>
      <c r="C171" s="18" t="s">
        <v>516</v>
      </c>
      <c r="D171" s="19" t="s">
        <v>517</v>
      </c>
      <c r="E171" s="20" t="s">
        <v>54</v>
      </c>
      <c r="F171" s="21">
        <v>26450</v>
      </c>
      <c r="G171" s="22" t="s">
        <v>518</v>
      </c>
      <c r="H171" s="23" t="s">
        <v>515</v>
      </c>
    </row>
    <row r="172" spans="1:8" ht="15.75" customHeight="1" x14ac:dyDescent="0.25">
      <c r="A172" s="24" t="s">
        <v>519</v>
      </c>
      <c r="B172" s="25" t="s">
        <v>515</v>
      </c>
      <c r="C172" s="26" t="s">
        <v>520</v>
      </c>
      <c r="D172" s="27" t="s">
        <v>521</v>
      </c>
      <c r="E172" s="28" t="s">
        <v>54</v>
      </c>
      <c r="F172" s="29">
        <v>39100</v>
      </c>
      <c r="G172" s="30" t="s">
        <v>522</v>
      </c>
      <c r="H172" s="31" t="s">
        <v>515</v>
      </c>
    </row>
    <row r="173" spans="1:8" ht="15.75" customHeight="1" x14ac:dyDescent="0.25">
      <c r="A173" s="16" t="s">
        <v>523</v>
      </c>
      <c r="B173" s="17" t="s">
        <v>515</v>
      </c>
      <c r="C173" s="18" t="s">
        <v>524</v>
      </c>
      <c r="D173" s="19" t="s">
        <v>525</v>
      </c>
      <c r="E173" s="20" t="s">
        <v>54</v>
      </c>
      <c r="F173" s="21">
        <v>23000</v>
      </c>
      <c r="G173" s="22" t="s">
        <v>526</v>
      </c>
      <c r="H173" s="23" t="s">
        <v>515</v>
      </c>
    </row>
    <row r="174" spans="1:8" ht="15.75" customHeight="1" x14ac:dyDescent="0.25">
      <c r="A174" s="24" t="s">
        <v>527</v>
      </c>
      <c r="B174" s="25" t="s">
        <v>515</v>
      </c>
      <c r="C174" s="26" t="s">
        <v>528</v>
      </c>
      <c r="D174" s="27" t="s">
        <v>529</v>
      </c>
      <c r="E174" s="28" t="s">
        <v>112</v>
      </c>
      <c r="F174" s="29">
        <v>5750</v>
      </c>
      <c r="G174" s="30" t="s">
        <v>526</v>
      </c>
      <c r="H174" s="31" t="s">
        <v>515</v>
      </c>
    </row>
    <row r="175" spans="1:8" ht="19.5" customHeight="1" x14ac:dyDescent="0.25">
      <c r="A175" s="12" t="s">
        <v>530</v>
      </c>
      <c r="B175" s="12"/>
      <c r="C175" s="12"/>
      <c r="D175" s="12"/>
      <c r="E175" s="12"/>
      <c r="F175" s="12"/>
      <c r="G175" s="12"/>
      <c r="H175" s="12"/>
    </row>
    <row r="176" spans="1:8" ht="15.75" customHeight="1" x14ac:dyDescent="0.25">
      <c r="A176" s="24" t="s">
        <v>531</v>
      </c>
      <c r="B176" s="25" t="s">
        <v>532</v>
      </c>
      <c r="C176" s="26" t="s">
        <v>533</v>
      </c>
      <c r="D176" s="27" t="s">
        <v>534</v>
      </c>
      <c r="E176" s="28" t="s">
        <v>16</v>
      </c>
      <c r="F176" s="29">
        <v>25300000</v>
      </c>
      <c r="G176" s="30" t="s">
        <v>532</v>
      </c>
      <c r="H176" s="31" t="s">
        <v>532</v>
      </c>
    </row>
    <row r="177" spans="1:8" ht="19.5" customHeight="1" x14ac:dyDescent="0.25">
      <c r="A177" s="12" t="s">
        <v>535</v>
      </c>
      <c r="B177" s="12"/>
      <c r="C177" s="12"/>
      <c r="D177" s="12"/>
      <c r="E177" s="12"/>
      <c r="F177" s="12"/>
      <c r="G177" s="12"/>
      <c r="H177" s="12"/>
    </row>
    <row r="178" spans="1:8" ht="15.75" customHeight="1" x14ac:dyDescent="0.25">
      <c r="A178" s="24" t="s">
        <v>536</v>
      </c>
      <c r="B178" s="25" t="s">
        <v>537</v>
      </c>
      <c r="C178" s="26" t="s">
        <v>538</v>
      </c>
      <c r="D178" s="27" t="s">
        <v>539</v>
      </c>
      <c r="E178" s="28" t="s">
        <v>54</v>
      </c>
      <c r="F178" s="29">
        <v>74750</v>
      </c>
      <c r="G178" s="30" t="s">
        <v>537</v>
      </c>
      <c r="H178" s="31" t="s">
        <v>537</v>
      </c>
    </row>
    <row r="179" spans="1:8" ht="19.5" customHeight="1" x14ac:dyDescent="0.25">
      <c r="A179" s="12" t="s">
        <v>540</v>
      </c>
      <c r="B179" s="12"/>
      <c r="C179" s="12"/>
      <c r="D179" s="12"/>
      <c r="E179" s="12"/>
      <c r="F179" s="12"/>
      <c r="G179" s="12"/>
      <c r="H179" s="12"/>
    </row>
    <row r="180" spans="1:8" ht="15.75" customHeight="1" x14ac:dyDescent="0.25">
      <c r="A180" s="24" t="s">
        <v>541</v>
      </c>
      <c r="B180" s="25" t="s">
        <v>542</v>
      </c>
      <c r="C180" s="26" t="s">
        <v>543</v>
      </c>
      <c r="D180" s="27" t="s">
        <v>544</v>
      </c>
      <c r="E180" s="28" t="s">
        <v>54</v>
      </c>
      <c r="F180" s="29">
        <v>575</v>
      </c>
      <c r="G180" s="30" t="s">
        <v>542</v>
      </c>
      <c r="H180" s="31" t="s">
        <v>542</v>
      </c>
    </row>
    <row r="181" spans="1:8" ht="15.75" customHeight="1" x14ac:dyDescent="0.25">
      <c r="A181" s="16" t="s">
        <v>545</v>
      </c>
      <c r="B181" s="17" t="s">
        <v>542</v>
      </c>
      <c r="C181" s="18" t="s">
        <v>546</v>
      </c>
      <c r="D181" s="19" t="s">
        <v>547</v>
      </c>
      <c r="E181" s="20" t="s">
        <v>54</v>
      </c>
      <c r="F181" s="21">
        <v>6325</v>
      </c>
      <c r="G181" s="22" t="s">
        <v>542</v>
      </c>
      <c r="H181" s="23" t="s">
        <v>542</v>
      </c>
    </row>
    <row r="182" spans="1:8" ht="19.5" customHeight="1" x14ac:dyDescent="0.25">
      <c r="A182" s="10" t="s">
        <v>548</v>
      </c>
      <c r="B182" s="10"/>
      <c r="C182" s="10"/>
      <c r="D182" s="10"/>
      <c r="E182" s="10"/>
      <c r="F182" s="32"/>
      <c r="G182" s="33" t="s">
        <v>549</v>
      </c>
      <c r="H182" s="32"/>
    </row>
  </sheetData>
  <mergeCells count="27">
    <mergeCell ref="A179:H179"/>
    <mergeCell ref="A182:E182"/>
    <mergeCell ref="A144:H144"/>
    <mergeCell ref="A154:H154"/>
    <mergeCell ref="A170:H170"/>
    <mergeCell ref="A175:H175"/>
    <mergeCell ref="A177:H177"/>
    <mergeCell ref="A103:H103"/>
    <mergeCell ref="A112:H112"/>
    <mergeCell ref="A121:H121"/>
    <mergeCell ref="A135:H135"/>
    <mergeCell ref="A136:H136"/>
    <mergeCell ref="A53:H53"/>
    <mergeCell ref="A60:H60"/>
    <mergeCell ref="A61:H61"/>
    <mergeCell ref="A75:H75"/>
    <mergeCell ref="A87:H87"/>
    <mergeCell ref="A20:H20"/>
    <mergeCell ref="A31:H31"/>
    <mergeCell ref="A38:H38"/>
    <mergeCell ref="A43:H43"/>
    <mergeCell ref="A46:H46"/>
    <mergeCell ref="A1:H1"/>
    <mergeCell ref="A2:H2"/>
    <mergeCell ref="A5:H5"/>
    <mergeCell ref="A6:H6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6" customWidth="1"/>
    <col min="4" max="4" width="12" customWidth="1"/>
    <col min="5" max="5" width="52" customWidth="1"/>
    <col min="6" max="6" width="8" customWidth="1"/>
    <col min="7" max="7" width="12" customWidth="1"/>
    <col min="8" max="9" width="18" customWidth="1"/>
    <col min="10" max="10" width="10" customWidth="1"/>
  </cols>
  <sheetData>
    <row r="1" spans="1:10" ht="31.5" customHeight="1" x14ac:dyDescent="0.25">
      <c r="A1" s="9" t="s">
        <v>550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6" customHeight="1" x14ac:dyDescent="0.25"/>
    <row r="4" spans="1:10" ht="30" customHeight="1" x14ac:dyDescent="0.25">
      <c r="A4" s="34" t="s">
        <v>2</v>
      </c>
      <c r="B4" s="34" t="s">
        <v>3</v>
      </c>
      <c r="C4" s="34" t="s">
        <v>551</v>
      </c>
      <c r="D4" s="34" t="s">
        <v>552</v>
      </c>
      <c r="E4" s="34" t="s">
        <v>553</v>
      </c>
      <c r="F4" s="34" t="s">
        <v>6</v>
      </c>
      <c r="G4" s="34" t="s">
        <v>554</v>
      </c>
      <c r="H4" s="34" t="s">
        <v>555</v>
      </c>
      <c r="I4" s="34" t="s">
        <v>556</v>
      </c>
      <c r="J4" s="34" t="s">
        <v>557</v>
      </c>
    </row>
    <row r="5" spans="1:10" ht="19.5" customHeight="1" x14ac:dyDescent="0.25">
      <c r="A5" s="7" t="s">
        <v>558</v>
      </c>
      <c r="B5" s="7"/>
      <c r="C5" s="7"/>
      <c r="D5" s="7"/>
      <c r="E5" s="7"/>
      <c r="F5" s="7"/>
      <c r="G5" s="7"/>
      <c r="H5" s="7"/>
      <c r="I5" s="7"/>
      <c r="J5" s="7"/>
    </row>
    <row r="6" spans="1:10" ht="15.75" customHeight="1" x14ac:dyDescent="0.25">
      <c r="A6" s="6" t="s">
        <v>559</v>
      </c>
      <c r="B6" s="6"/>
      <c r="C6" s="6"/>
      <c r="D6" s="6"/>
      <c r="E6" s="6"/>
      <c r="F6" s="6"/>
      <c r="G6" s="6"/>
      <c r="H6" s="6"/>
      <c r="I6" s="6"/>
      <c r="J6" s="6"/>
    </row>
    <row r="7" spans="1:10" ht="15.75" customHeight="1" x14ac:dyDescent="0.25">
      <c r="A7" s="35" t="s">
        <v>560</v>
      </c>
      <c r="B7" s="17" t="s">
        <v>13</v>
      </c>
      <c r="C7" s="36" t="s">
        <v>561</v>
      </c>
      <c r="D7" s="37" t="s">
        <v>562</v>
      </c>
      <c r="E7" s="19" t="s">
        <v>15</v>
      </c>
      <c r="F7" s="20" t="s">
        <v>16</v>
      </c>
      <c r="G7" s="38">
        <v>1</v>
      </c>
      <c r="H7" s="39">
        <v>4755250</v>
      </c>
      <c r="I7" s="40">
        <f t="shared" ref="I7:I13" si="0">G7*H7</f>
        <v>4755250</v>
      </c>
      <c r="J7" s="41" t="str">
        <f>IF(ABS(G7*H7-4755250)&lt;1,"✓ OK","⚠ ÉCART")</f>
        <v>✓ OK</v>
      </c>
    </row>
    <row r="8" spans="1:10" ht="15.75" customHeight="1" x14ac:dyDescent="0.25">
      <c r="A8" s="42" t="s">
        <v>563</v>
      </c>
      <c r="B8" s="25" t="s">
        <v>13</v>
      </c>
      <c r="C8" s="43" t="s">
        <v>561</v>
      </c>
      <c r="D8" s="44" t="s">
        <v>562</v>
      </c>
      <c r="E8" s="27" t="s">
        <v>20</v>
      </c>
      <c r="F8" s="28" t="s">
        <v>16</v>
      </c>
      <c r="G8" s="45">
        <v>1</v>
      </c>
      <c r="H8" s="46">
        <v>3758730</v>
      </c>
      <c r="I8" s="47">
        <f t="shared" si="0"/>
        <v>3758730</v>
      </c>
      <c r="J8" s="48" t="str">
        <f>IF(ABS(G8*H8-3758730)&lt;1,"✓ OK","⚠ ÉCART")</f>
        <v>✓ OK</v>
      </c>
    </row>
    <row r="9" spans="1:10" ht="15.75" customHeight="1" x14ac:dyDescent="0.25">
      <c r="A9" s="35" t="s">
        <v>564</v>
      </c>
      <c r="B9" s="17" t="s">
        <v>13</v>
      </c>
      <c r="C9" s="36" t="s">
        <v>561</v>
      </c>
      <c r="D9" s="37" t="s">
        <v>562</v>
      </c>
      <c r="E9" s="19" t="s">
        <v>565</v>
      </c>
      <c r="F9" s="20" t="s">
        <v>16</v>
      </c>
      <c r="G9" s="38">
        <v>1</v>
      </c>
      <c r="H9" s="39">
        <v>2507000</v>
      </c>
      <c r="I9" s="40">
        <f t="shared" si="0"/>
        <v>2507000</v>
      </c>
      <c r="J9" s="41" t="str">
        <f>IF(ABS(G9*H9-2507000)&lt;1,"✓ OK","⚠ ÉCART")</f>
        <v>✓ OK</v>
      </c>
    </row>
    <row r="10" spans="1:10" ht="15.75" customHeight="1" x14ac:dyDescent="0.25">
      <c r="A10" s="42" t="s">
        <v>566</v>
      </c>
      <c r="B10" s="25" t="s">
        <v>13</v>
      </c>
      <c r="C10" s="43" t="s">
        <v>561</v>
      </c>
      <c r="D10" s="44" t="s">
        <v>562</v>
      </c>
      <c r="E10" s="27" t="s">
        <v>567</v>
      </c>
      <c r="F10" s="28" t="s">
        <v>16</v>
      </c>
      <c r="G10" s="45">
        <v>1</v>
      </c>
      <c r="H10" s="46">
        <v>4213438</v>
      </c>
      <c r="I10" s="47">
        <f t="shared" si="0"/>
        <v>4213438</v>
      </c>
      <c r="J10" s="48" t="str">
        <f>IF(ABS(G10*H10-4213438)&lt;1,"✓ OK","⚠ ÉCART")</f>
        <v>✓ OK</v>
      </c>
    </row>
    <row r="11" spans="1:10" ht="15.75" customHeight="1" x14ac:dyDescent="0.25">
      <c r="A11" s="35" t="s">
        <v>568</v>
      </c>
      <c r="B11" s="17" t="s">
        <v>13</v>
      </c>
      <c r="C11" s="36" t="s">
        <v>561</v>
      </c>
      <c r="D11" s="37" t="s">
        <v>562</v>
      </c>
      <c r="E11" s="19" t="s">
        <v>29</v>
      </c>
      <c r="F11" s="20" t="s">
        <v>16</v>
      </c>
      <c r="G11" s="38">
        <v>1</v>
      </c>
      <c r="H11" s="39">
        <v>4945000</v>
      </c>
      <c r="I11" s="40">
        <f t="shared" si="0"/>
        <v>4945000</v>
      </c>
      <c r="J11" s="41" t="str">
        <f>IF(ABS(G11*H11-4945000)&lt;1,"✓ OK","⚠ ÉCART")</f>
        <v>✓ OK</v>
      </c>
    </row>
    <row r="12" spans="1:10" ht="15.75" customHeight="1" x14ac:dyDescent="0.25">
      <c r="A12" s="42" t="s">
        <v>569</v>
      </c>
      <c r="B12" s="25" t="s">
        <v>13</v>
      </c>
      <c r="C12" s="43" t="s">
        <v>561</v>
      </c>
      <c r="D12" s="44" t="s">
        <v>562</v>
      </c>
      <c r="E12" s="27" t="s">
        <v>32</v>
      </c>
      <c r="F12" s="28" t="s">
        <v>16</v>
      </c>
      <c r="G12" s="45">
        <v>1</v>
      </c>
      <c r="H12" s="46">
        <v>4795500</v>
      </c>
      <c r="I12" s="47">
        <f t="shared" si="0"/>
        <v>4795500</v>
      </c>
      <c r="J12" s="48" t="str">
        <f>IF(ABS(G12*H12-4795500)&lt;1,"✓ OK","⚠ ÉCART")</f>
        <v>✓ OK</v>
      </c>
    </row>
    <row r="13" spans="1:10" ht="15.75" customHeight="1" x14ac:dyDescent="0.25">
      <c r="A13" s="35" t="s">
        <v>570</v>
      </c>
      <c r="B13" s="17" t="s">
        <v>13</v>
      </c>
      <c r="C13" s="36" t="s">
        <v>561</v>
      </c>
      <c r="D13" s="37" t="s">
        <v>562</v>
      </c>
      <c r="E13" s="19" t="s">
        <v>571</v>
      </c>
      <c r="F13" s="20" t="s">
        <v>16</v>
      </c>
      <c r="G13" s="38">
        <v>1</v>
      </c>
      <c r="H13" s="39">
        <v>1265000</v>
      </c>
      <c r="I13" s="40">
        <f t="shared" si="0"/>
        <v>1265000</v>
      </c>
      <c r="J13" s="41" t="str">
        <f>IF(ABS(G13*H13-1265000)&lt;1,"✓ OK","⚠ ÉCART")</f>
        <v>✓ OK</v>
      </c>
    </row>
    <row r="14" spans="1:10" ht="15.75" customHeight="1" x14ac:dyDescent="0.25">
      <c r="A14" s="6" t="s">
        <v>572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ht="15.75" customHeight="1" x14ac:dyDescent="0.25">
      <c r="A15" s="35" t="s">
        <v>573</v>
      </c>
      <c r="B15" s="17" t="s">
        <v>13</v>
      </c>
      <c r="C15" s="36" t="s">
        <v>574</v>
      </c>
      <c r="D15" s="37" t="s">
        <v>575</v>
      </c>
      <c r="E15" s="19" t="s">
        <v>576</v>
      </c>
      <c r="F15" s="20" t="s">
        <v>40</v>
      </c>
      <c r="G15" s="38">
        <v>1</v>
      </c>
      <c r="H15" s="39">
        <v>1725000</v>
      </c>
      <c r="I15" s="40">
        <f>G15*H15</f>
        <v>1725000</v>
      </c>
      <c r="J15" s="41" t="str">
        <f>IF(ABS(G15*H15-1725000)&lt;1,"✓ OK","⚠ ÉCART")</f>
        <v>✓ OK</v>
      </c>
    </row>
    <row r="16" spans="1:10" ht="15.75" customHeight="1" x14ac:dyDescent="0.25">
      <c r="A16" s="42" t="s">
        <v>577</v>
      </c>
      <c r="B16" s="25" t="s">
        <v>13</v>
      </c>
      <c r="C16" s="43" t="s">
        <v>578</v>
      </c>
      <c r="D16" s="44" t="s">
        <v>579</v>
      </c>
      <c r="E16" s="27" t="s">
        <v>580</v>
      </c>
      <c r="F16" s="28" t="s">
        <v>40</v>
      </c>
      <c r="G16" s="45">
        <v>1</v>
      </c>
      <c r="H16" s="46">
        <v>2587500</v>
      </c>
      <c r="I16" s="47">
        <f>G16*H16</f>
        <v>2587500</v>
      </c>
      <c r="J16" s="48" t="str">
        <f>IF(ABS(G16*H16-2587500)&lt;1,"✓ OK","⚠ ÉCART")</f>
        <v>✓ OK</v>
      </c>
    </row>
    <row r="17" spans="1:10" ht="15.75" customHeight="1" x14ac:dyDescent="0.25">
      <c r="A17" s="35" t="s">
        <v>581</v>
      </c>
      <c r="B17" s="17" t="s">
        <v>13</v>
      </c>
      <c r="C17" s="36" t="s">
        <v>574</v>
      </c>
      <c r="D17" s="37" t="s">
        <v>582</v>
      </c>
      <c r="E17" s="19" t="s">
        <v>583</v>
      </c>
      <c r="F17" s="20" t="s">
        <v>40</v>
      </c>
      <c r="G17" s="38">
        <v>1</v>
      </c>
      <c r="H17" s="39">
        <v>1725000</v>
      </c>
      <c r="I17" s="40">
        <f>G17*H17</f>
        <v>1725000</v>
      </c>
      <c r="J17" s="41" t="str">
        <f>IF(ABS(G17*H17-1725000)&lt;1,"✓ OK","⚠ ÉCART")</f>
        <v>✓ OK</v>
      </c>
    </row>
    <row r="18" spans="1:10" ht="15.75" customHeight="1" x14ac:dyDescent="0.25">
      <c r="A18" s="42" t="s">
        <v>584</v>
      </c>
      <c r="B18" s="25" t="s">
        <v>13</v>
      </c>
      <c r="C18" s="43" t="s">
        <v>561</v>
      </c>
      <c r="D18" s="44" t="s">
        <v>562</v>
      </c>
      <c r="E18" s="27" t="s">
        <v>50</v>
      </c>
      <c r="F18" s="28" t="s">
        <v>40</v>
      </c>
      <c r="G18" s="45">
        <v>1</v>
      </c>
      <c r="H18" s="46">
        <v>552000</v>
      </c>
      <c r="I18" s="47">
        <f>G18*H18</f>
        <v>552000</v>
      </c>
      <c r="J18" s="48" t="str">
        <f>IF(ABS(G18*H18-552000)&lt;1,"✓ OK","⚠ ÉCART")</f>
        <v>✓ OK</v>
      </c>
    </row>
    <row r="19" spans="1:10" ht="15.75" customHeight="1" x14ac:dyDescent="0.25">
      <c r="A19" s="35" t="s">
        <v>585</v>
      </c>
      <c r="B19" s="17" t="s">
        <v>13</v>
      </c>
      <c r="C19" s="36" t="s">
        <v>574</v>
      </c>
      <c r="D19" s="37" t="s">
        <v>575</v>
      </c>
      <c r="E19" s="19" t="s">
        <v>586</v>
      </c>
      <c r="F19" s="20" t="s">
        <v>54</v>
      </c>
      <c r="G19" s="38">
        <v>460</v>
      </c>
      <c r="H19" s="39">
        <v>5750</v>
      </c>
      <c r="I19" s="49" t="s">
        <v>587</v>
      </c>
      <c r="J19" s="50" t="s">
        <v>588</v>
      </c>
    </row>
    <row r="20" spans="1:10" ht="15.75" customHeight="1" x14ac:dyDescent="0.25">
      <c r="A20" s="6" t="s">
        <v>589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ht="15.75" customHeight="1" x14ac:dyDescent="0.25">
      <c r="A21" s="35" t="s">
        <v>590</v>
      </c>
      <c r="B21" s="17" t="s">
        <v>13</v>
      </c>
      <c r="C21" s="36" t="s">
        <v>574</v>
      </c>
      <c r="D21" s="37" t="s">
        <v>591</v>
      </c>
      <c r="E21" s="19" t="s">
        <v>592</v>
      </c>
      <c r="F21" s="20" t="s">
        <v>59</v>
      </c>
      <c r="G21" s="38">
        <v>3.07</v>
      </c>
      <c r="H21" s="39">
        <v>338720</v>
      </c>
      <c r="I21" s="40">
        <f t="shared" ref="I21:I34" si="1">G21*H21</f>
        <v>1039870.3999999999</v>
      </c>
      <c r="J21" s="41" t="str">
        <f>IF(ABS(G21*H21-1039870)&lt;1,"✓ OK","⚠ ÉCART")</f>
        <v>✓ OK</v>
      </c>
    </row>
    <row r="22" spans="1:10" ht="15.75" customHeight="1" x14ac:dyDescent="0.25">
      <c r="A22" s="42" t="s">
        <v>593</v>
      </c>
      <c r="B22" s="25" t="s">
        <v>13</v>
      </c>
      <c r="C22" s="43" t="s">
        <v>574</v>
      </c>
      <c r="D22" s="44" t="s">
        <v>591</v>
      </c>
      <c r="E22" s="27" t="s">
        <v>594</v>
      </c>
      <c r="F22" s="28" t="s">
        <v>59</v>
      </c>
      <c r="G22" s="45">
        <v>4.3600000000000003</v>
      </c>
      <c r="H22" s="46">
        <v>189175</v>
      </c>
      <c r="I22" s="47">
        <f t="shared" si="1"/>
        <v>824803.00000000012</v>
      </c>
      <c r="J22" s="48" t="str">
        <f>IF(ABS(G22*H22-824803)&lt;1,"✓ OK","⚠ ÉCART")</f>
        <v>✓ OK</v>
      </c>
    </row>
    <row r="23" spans="1:10" ht="15.75" customHeight="1" x14ac:dyDescent="0.25">
      <c r="A23" s="35" t="s">
        <v>595</v>
      </c>
      <c r="B23" s="17" t="s">
        <v>13</v>
      </c>
      <c r="C23" s="36" t="s">
        <v>574</v>
      </c>
      <c r="D23" s="37" t="s">
        <v>591</v>
      </c>
      <c r="E23" s="19" t="s">
        <v>596</v>
      </c>
      <c r="F23" s="20" t="s">
        <v>54</v>
      </c>
      <c r="G23" s="38">
        <v>15.84</v>
      </c>
      <c r="H23" s="39">
        <v>5750</v>
      </c>
      <c r="I23" s="40">
        <f t="shared" si="1"/>
        <v>91080</v>
      </c>
      <c r="J23" s="41" t="str">
        <f>IF(ABS(G23*H23-91080)&lt;1,"✓ OK","⚠ ÉCART")</f>
        <v>✓ OK</v>
      </c>
    </row>
    <row r="24" spans="1:10" ht="15.75" customHeight="1" x14ac:dyDescent="0.25">
      <c r="A24" s="42" t="s">
        <v>597</v>
      </c>
      <c r="B24" s="25" t="s">
        <v>13</v>
      </c>
      <c r="C24" s="43" t="s">
        <v>574</v>
      </c>
      <c r="D24" s="44" t="s">
        <v>591</v>
      </c>
      <c r="E24" s="27" t="s">
        <v>598</v>
      </c>
      <c r="F24" s="28" t="s">
        <v>75</v>
      </c>
      <c r="G24" s="45">
        <v>436</v>
      </c>
      <c r="H24" s="46">
        <v>1380</v>
      </c>
      <c r="I24" s="47">
        <f t="shared" si="1"/>
        <v>601680</v>
      </c>
      <c r="J24" s="48" t="str">
        <f>IF(ABS(G24*H24-601680)&lt;1,"✓ OK","⚠ ÉCART")</f>
        <v>✓ OK</v>
      </c>
    </row>
    <row r="25" spans="1:10" ht="15.75" customHeight="1" x14ac:dyDescent="0.25">
      <c r="A25" s="35" t="s">
        <v>599</v>
      </c>
      <c r="B25" s="17" t="s">
        <v>13</v>
      </c>
      <c r="C25" s="36" t="s">
        <v>574</v>
      </c>
      <c r="D25" s="37" t="s">
        <v>591</v>
      </c>
      <c r="E25" s="19" t="s">
        <v>600</v>
      </c>
      <c r="F25" s="20" t="s">
        <v>59</v>
      </c>
      <c r="G25" s="38">
        <v>1.65</v>
      </c>
      <c r="H25" s="39">
        <v>189175</v>
      </c>
      <c r="I25" s="40">
        <f t="shared" si="1"/>
        <v>312138.75</v>
      </c>
      <c r="J25" s="41" t="str">
        <f>IF(ABS(G25*H25-312139)&lt;1,"✓ OK","⚠ ÉCART")</f>
        <v>✓ OK</v>
      </c>
    </row>
    <row r="26" spans="1:10" ht="15.75" customHeight="1" x14ac:dyDescent="0.25">
      <c r="A26" s="42" t="s">
        <v>601</v>
      </c>
      <c r="B26" s="25" t="s">
        <v>13</v>
      </c>
      <c r="C26" s="43" t="s">
        <v>574</v>
      </c>
      <c r="D26" s="44" t="s">
        <v>591</v>
      </c>
      <c r="E26" s="27" t="s">
        <v>602</v>
      </c>
      <c r="F26" s="28" t="s">
        <v>54</v>
      </c>
      <c r="G26" s="45">
        <v>26.4</v>
      </c>
      <c r="H26" s="46">
        <v>5750</v>
      </c>
      <c r="I26" s="47">
        <f t="shared" si="1"/>
        <v>151800</v>
      </c>
      <c r="J26" s="48" t="str">
        <f>IF(ABS(G26*H26-151800)&lt;1,"✓ OK","⚠ ÉCART")</f>
        <v>✓ OK</v>
      </c>
    </row>
    <row r="27" spans="1:10" ht="15.75" customHeight="1" x14ac:dyDescent="0.25">
      <c r="A27" s="35" t="s">
        <v>603</v>
      </c>
      <c r="B27" s="17" t="s">
        <v>13</v>
      </c>
      <c r="C27" s="36" t="s">
        <v>574</v>
      </c>
      <c r="D27" s="37" t="s">
        <v>591</v>
      </c>
      <c r="E27" s="19" t="s">
        <v>604</v>
      </c>
      <c r="F27" s="20" t="s">
        <v>75</v>
      </c>
      <c r="G27" s="38">
        <v>198</v>
      </c>
      <c r="H27" s="39">
        <v>1380</v>
      </c>
      <c r="I27" s="40">
        <f t="shared" si="1"/>
        <v>273240</v>
      </c>
      <c r="J27" s="41" t="str">
        <f>IF(ABS(G27*H27-273240)&lt;1,"✓ OK","⚠ ÉCART")</f>
        <v>✓ OK</v>
      </c>
    </row>
    <row r="28" spans="1:10" ht="15.75" customHeight="1" x14ac:dyDescent="0.25">
      <c r="A28" s="42" t="s">
        <v>605</v>
      </c>
      <c r="B28" s="25" t="s">
        <v>13</v>
      </c>
      <c r="C28" s="43" t="s">
        <v>574</v>
      </c>
      <c r="D28" s="44" t="s">
        <v>591</v>
      </c>
      <c r="E28" s="27" t="s">
        <v>606</v>
      </c>
      <c r="F28" s="28" t="s">
        <v>59</v>
      </c>
      <c r="G28" s="45">
        <v>3.72</v>
      </c>
      <c r="H28" s="46">
        <v>189175</v>
      </c>
      <c r="I28" s="47">
        <f t="shared" si="1"/>
        <v>703731</v>
      </c>
      <c r="J28" s="48" t="str">
        <f>IF(ABS(G28*H28-703731)&lt;1,"✓ OK","⚠ ÉCART")</f>
        <v>✓ OK</v>
      </c>
    </row>
    <row r="29" spans="1:10" ht="15.75" customHeight="1" x14ac:dyDescent="0.25">
      <c r="A29" s="35" t="s">
        <v>607</v>
      </c>
      <c r="B29" s="17" t="s">
        <v>13</v>
      </c>
      <c r="C29" s="36" t="s">
        <v>574</v>
      </c>
      <c r="D29" s="37" t="s">
        <v>591</v>
      </c>
      <c r="E29" s="19" t="s">
        <v>608</v>
      </c>
      <c r="F29" s="20" t="s">
        <v>54</v>
      </c>
      <c r="G29" s="38">
        <v>37.33</v>
      </c>
      <c r="H29" s="39">
        <v>5750</v>
      </c>
      <c r="I29" s="40">
        <f t="shared" si="1"/>
        <v>214647.5</v>
      </c>
      <c r="J29" s="41" t="str">
        <f>IF(ABS(G29*H29-214648)&lt;1,"✓ OK","⚠ ÉCART")</f>
        <v>✓ OK</v>
      </c>
    </row>
    <row r="30" spans="1:10" ht="15.75" customHeight="1" x14ac:dyDescent="0.25">
      <c r="A30" s="42" t="s">
        <v>609</v>
      </c>
      <c r="B30" s="25" t="s">
        <v>13</v>
      </c>
      <c r="C30" s="43" t="s">
        <v>574</v>
      </c>
      <c r="D30" s="44" t="s">
        <v>591</v>
      </c>
      <c r="E30" s="27" t="s">
        <v>610</v>
      </c>
      <c r="F30" s="28" t="s">
        <v>75</v>
      </c>
      <c r="G30" s="45">
        <v>484</v>
      </c>
      <c r="H30" s="46">
        <v>1380</v>
      </c>
      <c r="I30" s="47">
        <f t="shared" si="1"/>
        <v>667920</v>
      </c>
      <c r="J30" s="48" t="str">
        <f>IF(ABS(G30*H30-667920)&lt;1,"✓ OK","⚠ ÉCART")</f>
        <v>✓ OK</v>
      </c>
    </row>
    <row r="31" spans="1:10" ht="15.75" customHeight="1" x14ac:dyDescent="0.25">
      <c r="A31" s="35" t="s">
        <v>611</v>
      </c>
      <c r="B31" s="17" t="s">
        <v>13</v>
      </c>
      <c r="C31" s="36" t="s">
        <v>574</v>
      </c>
      <c r="D31" s="37" t="s">
        <v>591</v>
      </c>
      <c r="E31" s="19" t="s">
        <v>612</v>
      </c>
      <c r="F31" s="20" t="s">
        <v>59</v>
      </c>
      <c r="G31" s="38">
        <v>33.200000000000003</v>
      </c>
      <c r="H31" s="39">
        <v>189175</v>
      </c>
      <c r="I31" s="40">
        <f t="shared" si="1"/>
        <v>6280610.0000000009</v>
      </c>
      <c r="J31" s="41" t="str">
        <f>IF(ABS(G31*H31-6280610)&lt;1,"✓ OK","⚠ ÉCART")</f>
        <v>✓ OK</v>
      </c>
    </row>
    <row r="32" spans="1:10" ht="15.75" customHeight="1" x14ac:dyDescent="0.25">
      <c r="A32" s="42" t="s">
        <v>613</v>
      </c>
      <c r="B32" s="25" t="s">
        <v>13</v>
      </c>
      <c r="C32" s="43" t="s">
        <v>574</v>
      </c>
      <c r="D32" s="44" t="s">
        <v>591</v>
      </c>
      <c r="E32" s="27" t="s">
        <v>614</v>
      </c>
      <c r="F32" s="28" t="s">
        <v>54</v>
      </c>
      <c r="G32" s="45">
        <v>66.8</v>
      </c>
      <c r="H32" s="46">
        <v>5750</v>
      </c>
      <c r="I32" s="47">
        <f t="shared" si="1"/>
        <v>384100</v>
      </c>
      <c r="J32" s="48" t="str">
        <f>IF(ABS(G32*H32-384100)&lt;1,"✓ OK","⚠ ÉCART")</f>
        <v>✓ OK</v>
      </c>
    </row>
    <row r="33" spans="1:10" ht="15.75" customHeight="1" x14ac:dyDescent="0.25">
      <c r="A33" s="35" t="s">
        <v>615</v>
      </c>
      <c r="B33" s="17" t="s">
        <v>13</v>
      </c>
      <c r="C33" s="36" t="s">
        <v>574</v>
      </c>
      <c r="D33" s="37" t="s">
        <v>591</v>
      </c>
      <c r="E33" s="19" t="s">
        <v>616</v>
      </c>
      <c r="F33" s="20" t="s">
        <v>75</v>
      </c>
      <c r="G33" s="38">
        <v>2324</v>
      </c>
      <c r="H33" s="39">
        <v>1380</v>
      </c>
      <c r="I33" s="40">
        <f t="shared" si="1"/>
        <v>3207120</v>
      </c>
      <c r="J33" s="41" t="str">
        <f>IF(ABS(G33*H33-3207120)&lt;1,"✓ OK","⚠ ÉCART")</f>
        <v>✓ OK</v>
      </c>
    </row>
    <row r="34" spans="1:10" ht="15.75" customHeight="1" x14ac:dyDescent="0.25">
      <c r="A34" s="42" t="s">
        <v>617</v>
      </c>
      <c r="B34" s="25" t="s">
        <v>13</v>
      </c>
      <c r="C34" s="43" t="s">
        <v>574</v>
      </c>
      <c r="D34" s="44" t="s">
        <v>591</v>
      </c>
      <c r="E34" s="27" t="s">
        <v>618</v>
      </c>
      <c r="F34" s="28" t="s">
        <v>54</v>
      </c>
      <c r="G34" s="45">
        <v>78.98</v>
      </c>
      <c r="H34" s="46">
        <v>12180</v>
      </c>
      <c r="I34" s="47">
        <f t="shared" si="1"/>
        <v>961976.4</v>
      </c>
      <c r="J34" s="48" t="str">
        <f>IF(ABS(G34*H34-961976)&lt;1,"✓ OK","⚠ ÉCART")</f>
        <v>✓ OK</v>
      </c>
    </row>
    <row r="35" spans="1:10" ht="15.75" customHeight="1" x14ac:dyDescent="0.25">
      <c r="A35" s="6" t="s">
        <v>619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ht="15.75" customHeight="1" x14ac:dyDescent="0.25">
      <c r="A36" s="42" t="s">
        <v>620</v>
      </c>
      <c r="B36" s="25" t="s">
        <v>13</v>
      </c>
      <c r="C36" s="43" t="s">
        <v>578</v>
      </c>
      <c r="D36" s="44" t="s">
        <v>591</v>
      </c>
      <c r="E36" s="27" t="s">
        <v>621</v>
      </c>
      <c r="F36" s="28" t="s">
        <v>59</v>
      </c>
      <c r="G36" s="45">
        <v>30.3</v>
      </c>
      <c r="H36" s="46">
        <v>189175</v>
      </c>
      <c r="I36" s="47">
        <f>G36*H36</f>
        <v>5732002.5</v>
      </c>
      <c r="J36" s="48" t="str">
        <f>IF(ABS(G36*H36-5732003)&lt;1,"✓ OK","⚠ ÉCART")</f>
        <v>✓ OK</v>
      </c>
    </row>
    <row r="37" spans="1:10" ht="15.75" customHeight="1" x14ac:dyDescent="0.25">
      <c r="A37" s="35" t="s">
        <v>622</v>
      </c>
      <c r="B37" s="17" t="s">
        <v>13</v>
      </c>
      <c r="C37" s="36" t="s">
        <v>578</v>
      </c>
      <c r="D37" s="37" t="s">
        <v>591</v>
      </c>
      <c r="E37" s="19" t="s">
        <v>623</v>
      </c>
      <c r="F37" s="20" t="s">
        <v>54</v>
      </c>
      <c r="G37" s="38">
        <v>10.8</v>
      </c>
      <c r="H37" s="39">
        <v>5750</v>
      </c>
      <c r="I37" s="40">
        <f>G37*H37</f>
        <v>62100.000000000007</v>
      </c>
      <c r="J37" s="41" t="str">
        <f>IF(ABS(G37*H37-62100)&lt;1,"✓ OK","⚠ ÉCART")</f>
        <v>✓ OK</v>
      </c>
    </row>
    <row r="38" spans="1:10" ht="15.75" customHeight="1" x14ac:dyDescent="0.25">
      <c r="A38" s="42" t="s">
        <v>624</v>
      </c>
      <c r="B38" s="25" t="s">
        <v>13</v>
      </c>
      <c r="C38" s="43" t="s">
        <v>578</v>
      </c>
      <c r="D38" s="44" t="s">
        <v>591</v>
      </c>
      <c r="E38" s="27" t="s">
        <v>625</v>
      </c>
      <c r="F38" s="28" t="s">
        <v>75</v>
      </c>
      <c r="G38" s="45">
        <v>1818</v>
      </c>
      <c r="H38" s="46">
        <v>1380</v>
      </c>
      <c r="I38" s="47">
        <f>G38*H38</f>
        <v>2508840</v>
      </c>
      <c r="J38" s="48" t="str">
        <f>IF(ABS(G38*H38-2508840)&lt;1,"✓ OK","⚠ ÉCART")</f>
        <v>✓ OK</v>
      </c>
    </row>
    <row r="39" spans="1:10" ht="15.75" customHeight="1" x14ac:dyDescent="0.25">
      <c r="A39" s="6" t="s">
        <v>626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ht="15.75" customHeight="1" x14ac:dyDescent="0.25">
      <c r="A40" s="42" t="s">
        <v>627</v>
      </c>
      <c r="B40" s="25" t="s">
        <v>13</v>
      </c>
      <c r="C40" s="43" t="s">
        <v>574</v>
      </c>
      <c r="D40" s="44" t="s">
        <v>575</v>
      </c>
      <c r="E40" s="27" t="s">
        <v>628</v>
      </c>
      <c r="F40" s="28" t="s">
        <v>59</v>
      </c>
      <c r="G40" s="45">
        <v>2.48</v>
      </c>
      <c r="H40" s="46">
        <v>189175</v>
      </c>
      <c r="I40" s="47">
        <f t="shared" ref="I40:I72" si="2">G40*H40</f>
        <v>469154</v>
      </c>
      <c r="J40" s="48" t="str">
        <f>IF(ABS(G40*H40-469154)&lt;1,"✓ OK","⚠ ÉCART")</f>
        <v>✓ OK</v>
      </c>
    </row>
    <row r="41" spans="1:10" ht="15.75" customHeight="1" x14ac:dyDescent="0.25">
      <c r="A41" s="35" t="s">
        <v>629</v>
      </c>
      <c r="B41" s="17" t="s">
        <v>13</v>
      </c>
      <c r="C41" s="36" t="s">
        <v>574</v>
      </c>
      <c r="D41" s="37" t="s">
        <v>575</v>
      </c>
      <c r="E41" s="19" t="s">
        <v>630</v>
      </c>
      <c r="F41" s="20" t="s">
        <v>54</v>
      </c>
      <c r="G41" s="38">
        <v>39.6</v>
      </c>
      <c r="H41" s="39">
        <v>5750</v>
      </c>
      <c r="I41" s="40">
        <f t="shared" si="2"/>
        <v>227700</v>
      </c>
      <c r="J41" s="41" t="str">
        <f>IF(ABS(G41*H41-227700)&lt;1,"✓ OK","⚠ ÉCART")</f>
        <v>✓ OK</v>
      </c>
    </row>
    <row r="42" spans="1:10" ht="15.75" customHeight="1" x14ac:dyDescent="0.25">
      <c r="A42" s="42" t="s">
        <v>631</v>
      </c>
      <c r="B42" s="25" t="s">
        <v>13</v>
      </c>
      <c r="C42" s="43" t="s">
        <v>574</v>
      </c>
      <c r="D42" s="44" t="s">
        <v>575</v>
      </c>
      <c r="E42" s="27" t="s">
        <v>632</v>
      </c>
      <c r="F42" s="28" t="s">
        <v>75</v>
      </c>
      <c r="G42" s="45">
        <v>297.60000000000002</v>
      </c>
      <c r="H42" s="46">
        <v>1380</v>
      </c>
      <c r="I42" s="47">
        <f t="shared" si="2"/>
        <v>410688.00000000006</v>
      </c>
      <c r="J42" s="48" t="str">
        <f>IF(ABS(G42*H42-410688)&lt;1,"✓ OK","⚠ ÉCART")</f>
        <v>✓ OK</v>
      </c>
    </row>
    <row r="43" spans="1:10" ht="15.75" customHeight="1" x14ac:dyDescent="0.25">
      <c r="A43" s="35" t="s">
        <v>633</v>
      </c>
      <c r="B43" s="17" t="s">
        <v>13</v>
      </c>
      <c r="C43" s="36" t="s">
        <v>574</v>
      </c>
      <c r="D43" s="37" t="s">
        <v>575</v>
      </c>
      <c r="E43" s="19" t="s">
        <v>634</v>
      </c>
      <c r="F43" s="20" t="s">
        <v>59</v>
      </c>
      <c r="G43" s="38">
        <v>3.72</v>
      </c>
      <c r="H43" s="39">
        <v>189175</v>
      </c>
      <c r="I43" s="40">
        <f t="shared" si="2"/>
        <v>703731</v>
      </c>
      <c r="J43" s="41" t="str">
        <f>IF(ABS(G43*H43-703731)&lt;1,"✓ OK","⚠ ÉCART")</f>
        <v>✓ OK</v>
      </c>
    </row>
    <row r="44" spans="1:10" ht="15.75" customHeight="1" x14ac:dyDescent="0.25">
      <c r="A44" s="42" t="s">
        <v>635</v>
      </c>
      <c r="B44" s="25" t="s">
        <v>13</v>
      </c>
      <c r="C44" s="43" t="s">
        <v>574</v>
      </c>
      <c r="D44" s="44" t="s">
        <v>575</v>
      </c>
      <c r="E44" s="27" t="s">
        <v>636</v>
      </c>
      <c r="F44" s="28" t="s">
        <v>54</v>
      </c>
      <c r="G44" s="45">
        <v>46.46</v>
      </c>
      <c r="H44" s="46">
        <v>5750</v>
      </c>
      <c r="I44" s="47">
        <f t="shared" si="2"/>
        <v>267145</v>
      </c>
      <c r="J44" s="48" t="str">
        <f>IF(ABS(G44*H44-267145)&lt;1,"✓ OK","⚠ ÉCART")</f>
        <v>✓ OK</v>
      </c>
    </row>
    <row r="45" spans="1:10" ht="15.75" customHeight="1" x14ac:dyDescent="0.25">
      <c r="A45" s="35" t="s">
        <v>637</v>
      </c>
      <c r="B45" s="17" t="s">
        <v>13</v>
      </c>
      <c r="C45" s="36" t="s">
        <v>574</v>
      </c>
      <c r="D45" s="37" t="s">
        <v>575</v>
      </c>
      <c r="E45" s="19" t="s">
        <v>638</v>
      </c>
      <c r="F45" s="20" t="s">
        <v>75</v>
      </c>
      <c r="G45" s="38">
        <v>483.6</v>
      </c>
      <c r="H45" s="39">
        <v>1380</v>
      </c>
      <c r="I45" s="40">
        <f t="shared" si="2"/>
        <v>667368</v>
      </c>
      <c r="J45" s="41" t="str">
        <f>IF(ABS(G45*H45-667368)&lt;1,"✓ OK","⚠ ÉCART")</f>
        <v>✓ OK</v>
      </c>
    </row>
    <row r="46" spans="1:10" ht="15.75" customHeight="1" x14ac:dyDescent="0.25">
      <c r="A46" s="42" t="s">
        <v>639</v>
      </c>
      <c r="B46" s="25" t="s">
        <v>13</v>
      </c>
      <c r="C46" s="43" t="s">
        <v>574</v>
      </c>
      <c r="D46" s="44" t="s">
        <v>575</v>
      </c>
      <c r="E46" s="27" t="s">
        <v>640</v>
      </c>
      <c r="F46" s="28" t="s">
        <v>59</v>
      </c>
      <c r="G46" s="45">
        <v>5.31</v>
      </c>
      <c r="H46" s="46">
        <v>189175</v>
      </c>
      <c r="I46" s="47">
        <f t="shared" si="2"/>
        <v>1004519.2499999999</v>
      </c>
      <c r="J46" s="48" t="str">
        <f>IF(ABS(G46*H46-1004519)&lt;1,"✓ OK","⚠ ÉCART")</f>
        <v>✓ OK</v>
      </c>
    </row>
    <row r="47" spans="1:10" ht="15.75" customHeight="1" x14ac:dyDescent="0.25">
      <c r="A47" s="35" t="s">
        <v>641</v>
      </c>
      <c r="B47" s="17" t="s">
        <v>13</v>
      </c>
      <c r="C47" s="36" t="s">
        <v>574</v>
      </c>
      <c r="D47" s="37" t="s">
        <v>575</v>
      </c>
      <c r="E47" s="19" t="s">
        <v>642</v>
      </c>
      <c r="F47" s="20" t="s">
        <v>54</v>
      </c>
      <c r="G47" s="38">
        <v>79.63</v>
      </c>
      <c r="H47" s="39">
        <v>5750</v>
      </c>
      <c r="I47" s="40">
        <f t="shared" si="2"/>
        <v>457872.5</v>
      </c>
      <c r="J47" s="41" t="str">
        <f>IF(ABS(G47*H47-457873)&lt;1,"✓ OK","⚠ ÉCART")</f>
        <v>✓ OK</v>
      </c>
    </row>
    <row r="48" spans="1:10" ht="15.75" customHeight="1" x14ac:dyDescent="0.25">
      <c r="A48" s="42" t="s">
        <v>643</v>
      </c>
      <c r="B48" s="25" t="s">
        <v>13</v>
      </c>
      <c r="C48" s="43" t="s">
        <v>574</v>
      </c>
      <c r="D48" s="44" t="s">
        <v>575</v>
      </c>
      <c r="E48" s="27" t="s">
        <v>644</v>
      </c>
      <c r="F48" s="28" t="s">
        <v>75</v>
      </c>
      <c r="G48" s="45">
        <v>1113.5999999999999</v>
      </c>
      <c r="H48" s="46">
        <v>1380</v>
      </c>
      <c r="I48" s="47">
        <f t="shared" si="2"/>
        <v>1536767.9999999998</v>
      </c>
      <c r="J48" s="48" t="str">
        <f>IF(ABS(G48*H48-1536768)&lt;1,"✓ OK","⚠ ÉCART")</f>
        <v>✓ OK</v>
      </c>
    </row>
    <row r="49" spans="1:10" ht="15.75" customHeight="1" x14ac:dyDescent="0.25">
      <c r="A49" s="35" t="s">
        <v>645</v>
      </c>
      <c r="B49" s="17" t="s">
        <v>13</v>
      </c>
      <c r="C49" s="36" t="s">
        <v>574</v>
      </c>
      <c r="D49" s="37" t="s">
        <v>575</v>
      </c>
      <c r="E49" s="19" t="s">
        <v>646</v>
      </c>
      <c r="F49" s="20" t="s">
        <v>59</v>
      </c>
      <c r="G49" s="38">
        <v>4.74</v>
      </c>
      <c r="H49" s="39">
        <v>189175</v>
      </c>
      <c r="I49" s="40">
        <f t="shared" si="2"/>
        <v>896689.5</v>
      </c>
      <c r="J49" s="41" t="str">
        <f>IF(ABS(G49*H49-896690)&lt;1,"✓ OK","⚠ ÉCART")</f>
        <v>✓ OK</v>
      </c>
    </row>
    <row r="50" spans="1:10" ht="15.75" customHeight="1" x14ac:dyDescent="0.25">
      <c r="A50" s="42" t="s">
        <v>647</v>
      </c>
      <c r="B50" s="25" t="s">
        <v>13</v>
      </c>
      <c r="C50" s="43" t="s">
        <v>574</v>
      </c>
      <c r="D50" s="44" t="s">
        <v>575</v>
      </c>
      <c r="E50" s="27" t="s">
        <v>648</v>
      </c>
      <c r="F50" s="28" t="s">
        <v>54</v>
      </c>
      <c r="G50" s="45">
        <v>71.099999999999994</v>
      </c>
      <c r="H50" s="46">
        <v>5750</v>
      </c>
      <c r="I50" s="47">
        <f t="shared" si="2"/>
        <v>408824.99999999994</v>
      </c>
      <c r="J50" s="48" t="str">
        <f>IF(ABS(G50*H50-408825)&lt;1,"✓ OK","⚠ ÉCART")</f>
        <v>✓ OK</v>
      </c>
    </row>
    <row r="51" spans="1:10" ht="15.75" customHeight="1" x14ac:dyDescent="0.25">
      <c r="A51" s="35" t="s">
        <v>649</v>
      </c>
      <c r="B51" s="17" t="s">
        <v>13</v>
      </c>
      <c r="C51" s="36" t="s">
        <v>574</v>
      </c>
      <c r="D51" s="37" t="s">
        <v>575</v>
      </c>
      <c r="E51" s="19" t="s">
        <v>650</v>
      </c>
      <c r="F51" s="20" t="s">
        <v>75</v>
      </c>
      <c r="G51" s="38">
        <v>331.8</v>
      </c>
      <c r="H51" s="39">
        <v>1380</v>
      </c>
      <c r="I51" s="40">
        <f t="shared" si="2"/>
        <v>457884</v>
      </c>
      <c r="J51" s="41" t="str">
        <f>IF(ABS(G51*H51-457884)&lt;1,"✓ OK","⚠ ÉCART")</f>
        <v>✓ OK</v>
      </c>
    </row>
    <row r="52" spans="1:10" ht="15.75" customHeight="1" x14ac:dyDescent="0.25">
      <c r="A52" s="42" t="s">
        <v>651</v>
      </c>
      <c r="B52" s="25" t="s">
        <v>13</v>
      </c>
      <c r="C52" s="43" t="s">
        <v>574</v>
      </c>
      <c r="D52" s="44" t="s">
        <v>575</v>
      </c>
      <c r="E52" s="27" t="s">
        <v>652</v>
      </c>
      <c r="F52" s="28" t="s">
        <v>59</v>
      </c>
      <c r="G52" s="45">
        <v>9.2799999999999994</v>
      </c>
      <c r="H52" s="46">
        <v>189175</v>
      </c>
      <c r="I52" s="47">
        <f t="shared" si="2"/>
        <v>1755543.9999999998</v>
      </c>
      <c r="J52" s="48" t="str">
        <f>IF(ABS(G52*H52-1755544)&lt;1,"✓ OK","⚠ ÉCART")</f>
        <v>✓ OK</v>
      </c>
    </row>
    <row r="53" spans="1:10" ht="15.75" customHeight="1" x14ac:dyDescent="0.25">
      <c r="A53" s="35" t="s">
        <v>653</v>
      </c>
      <c r="B53" s="17" t="s">
        <v>13</v>
      </c>
      <c r="C53" s="36" t="s">
        <v>574</v>
      </c>
      <c r="D53" s="37" t="s">
        <v>575</v>
      </c>
      <c r="E53" s="19" t="s">
        <v>654</v>
      </c>
      <c r="F53" s="20" t="s">
        <v>54</v>
      </c>
      <c r="G53" s="38">
        <v>51.33</v>
      </c>
      <c r="H53" s="39">
        <v>5750</v>
      </c>
      <c r="I53" s="40">
        <f t="shared" si="2"/>
        <v>295147.5</v>
      </c>
      <c r="J53" s="41" t="str">
        <f>IF(ABS(G53*H53-295148)&lt;1,"✓ OK","⚠ ÉCART")</f>
        <v>✓ OK</v>
      </c>
    </row>
    <row r="54" spans="1:10" ht="15.75" customHeight="1" x14ac:dyDescent="0.25">
      <c r="A54" s="42" t="s">
        <v>655</v>
      </c>
      <c r="B54" s="25" t="s">
        <v>13</v>
      </c>
      <c r="C54" s="43" t="s">
        <v>574</v>
      </c>
      <c r="D54" s="44" t="s">
        <v>575</v>
      </c>
      <c r="E54" s="27" t="s">
        <v>656</v>
      </c>
      <c r="F54" s="28" t="s">
        <v>75</v>
      </c>
      <c r="G54" s="45">
        <v>1113.5999999999999</v>
      </c>
      <c r="H54" s="46">
        <v>1380</v>
      </c>
      <c r="I54" s="47">
        <f t="shared" si="2"/>
        <v>1536767.9999999998</v>
      </c>
      <c r="J54" s="48" t="str">
        <f>IF(ABS(G54*H54-1536768)&lt;1,"✓ OK","⚠ ÉCART")</f>
        <v>✓ OK</v>
      </c>
    </row>
    <row r="55" spans="1:10" ht="15.75" customHeight="1" x14ac:dyDescent="0.25">
      <c r="A55" s="35" t="s">
        <v>657</v>
      </c>
      <c r="B55" s="17" t="s">
        <v>13</v>
      </c>
      <c r="C55" s="36" t="s">
        <v>574</v>
      </c>
      <c r="D55" s="37" t="s">
        <v>575</v>
      </c>
      <c r="E55" s="19" t="s">
        <v>658</v>
      </c>
      <c r="F55" s="20" t="s">
        <v>59</v>
      </c>
      <c r="G55" s="38">
        <v>4.4400000000000004</v>
      </c>
      <c r="H55" s="39">
        <v>189175</v>
      </c>
      <c r="I55" s="40">
        <f t="shared" si="2"/>
        <v>839937.00000000012</v>
      </c>
      <c r="J55" s="41" t="str">
        <f>IF(ABS(G55*H55-839937)&lt;1,"✓ OK","⚠ ÉCART")</f>
        <v>✓ OK</v>
      </c>
    </row>
    <row r="56" spans="1:10" ht="15.75" customHeight="1" x14ac:dyDescent="0.25">
      <c r="A56" s="42" t="s">
        <v>659</v>
      </c>
      <c r="B56" s="25" t="s">
        <v>13</v>
      </c>
      <c r="C56" s="43" t="s">
        <v>574</v>
      </c>
      <c r="D56" s="44" t="s">
        <v>575</v>
      </c>
      <c r="E56" s="27" t="s">
        <v>660</v>
      </c>
      <c r="F56" s="28" t="s">
        <v>54</v>
      </c>
      <c r="G56" s="45">
        <v>37</v>
      </c>
      <c r="H56" s="46">
        <v>14231</v>
      </c>
      <c r="I56" s="47">
        <f t="shared" si="2"/>
        <v>526547</v>
      </c>
      <c r="J56" s="48" t="str">
        <f>IF(ABS(G56*H56-526547)&lt;1,"✓ OK","⚠ ÉCART")</f>
        <v>✓ OK</v>
      </c>
    </row>
    <row r="57" spans="1:10" ht="15.75" customHeight="1" x14ac:dyDescent="0.25">
      <c r="A57" s="35" t="s">
        <v>661</v>
      </c>
      <c r="B57" s="17" t="s">
        <v>13</v>
      </c>
      <c r="C57" s="36" t="s">
        <v>574</v>
      </c>
      <c r="D57" s="37" t="s">
        <v>575</v>
      </c>
      <c r="E57" s="19" t="s">
        <v>662</v>
      </c>
      <c r="F57" s="20" t="s">
        <v>54</v>
      </c>
      <c r="G57" s="38">
        <v>37</v>
      </c>
      <c r="H57" s="39">
        <v>5750</v>
      </c>
      <c r="I57" s="40">
        <f t="shared" si="2"/>
        <v>212750</v>
      </c>
      <c r="J57" s="41" t="str">
        <f>IF(ABS(G57*H57-212750)&lt;1,"✓ OK","⚠ ÉCART")</f>
        <v>✓ OK</v>
      </c>
    </row>
    <row r="58" spans="1:10" ht="15.75" customHeight="1" x14ac:dyDescent="0.25">
      <c r="A58" s="42" t="s">
        <v>663</v>
      </c>
      <c r="B58" s="25" t="s">
        <v>13</v>
      </c>
      <c r="C58" s="43" t="s">
        <v>574</v>
      </c>
      <c r="D58" s="44" t="s">
        <v>575</v>
      </c>
      <c r="E58" s="27" t="s">
        <v>664</v>
      </c>
      <c r="F58" s="28" t="s">
        <v>75</v>
      </c>
      <c r="G58" s="45">
        <v>400</v>
      </c>
      <c r="H58" s="46">
        <v>1380</v>
      </c>
      <c r="I58" s="47">
        <f t="shared" si="2"/>
        <v>552000</v>
      </c>
      <c r="J58" s="48" t="str">
        <f>IF(ABS(G58*H58-552000)&lt;1,"✓ OK","⚠ ÉCART")</f>
        <v>✓ OK</v>
      </c>
    </row>
    <row r="59" spans="1:10" ht="15.75" customHeight="1" x14ac:dyDescent="0.25">
      <c r="A59" s="35" t="s">
        <v>665</v>
      </c>
      <c r="B59" s="17" t="s">
        <v>13</v>
      </c>
      <c r="C59" s="36" t="s">
        <v>574</v>
      </c>
      <c r="D59" s="37" t="s">
        <v>575</v>
      </c>
      <c r="E59" s="19" t="s">
        <v>666</v>
      </c>
      <c r="F59" s="20" t="s">
        <v>54</v>
      </c>
      <c r="G59" s="38">
        <v>597.20000000000005</v>
      </c>
      <c r="H59" s="39">
        <v>11185</v>
      </c>
      <c r="I59" s="40">
        <f t="shared" si="2"/>
        <v>6679682.0000000009</v>
      </c>
      <c r="J59" s="41" t="str">
        <f>IF(ABS(G59*H59-6679682)&lt;1,"✓ OK","⚠ ÉCART")</f>
        <v>✓ OK</v>
      </c>
    </row>
    <row r="60" spans="1:10" ht="15.75" customHeight="1" x14ac:dyDescent="0.25">
      <c r="A60" s="42" t="s">
        <v>667</v>
      </c>
      <c r="B60" s="25" t="s">
        <v>13</v>
      </c>
      <c r="C60" s="43" t="s">
        <v>574</v>
      </c>
      <c r="D60" s="44" t="s">
        <v>575</v>
      </c>
      <c r="E60" s="27" t="s">
        <v>88</v>
      </c>
      <c r="F60" s="28" t="s">
        <v>54</v>
      </c>
      <c r="G60" s="45">
        <v>1194.4000000000001</v>
      </c>
      <c r="H60" s="46">
        <v>3827</v>
      </c>
      <c r="I60" s="47">
        <f t="shared" si="2"/>
        <v>4570968.8000000007</v>
      </c>
      <c r="J60" s="48" t="str">
        <f>IF(ABS(G60*H60-4570969)&lt;1,"✓ OK","⚠ ÉCART")</f>
        <v>✓ OK</v>
      </c>
    </row>
    <row r="61" spans="1:10" ht="15.75" customHeight="1" x14ac:dyDescent="0.25">
      <c r="A61" s="35" t="s">
        <v>668</v>
      </c>
      <c r="B61" s="17" t="s">
        <v>13</v>
      </c>
      <c r="C61" s="36" t="s">
        <v>574</v>
      </c>
      <c r="D61" s="37" t="s">
        <v>575</v>
      </c>
      <c r="E61" s="19" t="s">
        <v>91</v>
      </c>
      <c r="F61" s="20" t="s">
        <v>54</v>
      </c>
      <c r="G61" s="38">
        <v>37</v>
      </c>
      <c r="H61" s="39">
        <v>3827</v>
      </c>
      <c r="I61" s="40">
        <f t="shared" si="2"/>
        <v>141599</v>
      </c>
      <c r="J61" s="41" t="str">
        <f>IF(ABS(G61*H61-141599)&lt;1,"✓ OK","⚠ ÉCART")</f>
        <v>✓ OK</v>
      </c>
    </row>
    <row r="62" spans="1:10" ht="15.75" customHeight="1" x14ac:dyDescent="0.25">
      <c r="A62" s="42" t="s">
        <v>669</v>
      </c>
      <c r="B62" s="25" t="s">
        <v>13</v>
      </c>
      <c r="C62" s="43" t="s">
        <v>574</v>
      </c>
      <c r="D62" s="44" t="s">
        <v>575</v>
      </c>
      <c r="E62" s="27" t="s">
        <v>670</v>
      </c>
      <c r="F62" s="28" t="s">
        <v>16</v>
      </c>
      <c r="G62" s="45">
        <v>1</v>
      </c>
      <c r="H62" s="46">
        <v>1725000</v>
      </c>
      <c r="I62" s="47">
        <f t="shared" si="2"/>
        <v>1725000</v>
      </c>
      <c r="J62" s="48" t="str">
        <f>IF(ABS(G62*H62-1725000)&lt;1,"✓ OK","⚠ ÉCART")</f>
        <v>✓ OK</v>
      </c>
    </row>
    <row r="63" spans="1:10" ht="15.75" customHeight="1" x14ac:dyDescent="0.25">
      <c r="A63" s="35" t="s">
        <v>671</v>
      </c>
      <c r="B63" s="17" t="s">
        <v>13</v>
      </c>
      <c r="C63" s="36" t="s">
        <v>574</v>
      </c>
      <c r="D63" s="37" t="s">
        <v>575</v>
      </c>
      <c r="E63" s="19" t="s">
        <v>672</v>
      </c>
      <c r="F63" s="20" t="s">
        <v>16</v>
      </c>
      <c r="G63" s="38">
        <v>1</v>
      </c>
      <c r="H63" s="39">
        <v>2300000</v>
      </c>
      <c r="I63" s="40">
        <f t="shared" si="2"/>
        <v>2300000</v>
      </c>
      <c r="J63" s="41" t="str">
        <f>IF(ABS(G63*H63-2300000)&lt;1,"✓ OK","⚠ ÉCART")</f>
        <v>✓ OK</v>
      </c>
    </row>
    <row r="64" spans="1:10" ht="15.75" customHeight="1" x14ac:dyDescent="0.25">
      <c r="A64" s="42" t="s">
        <v>673</v>
      </c>
      <c r="B64" s="25" t="s">
        <v>13</v>
      </c>
      <c r="C64" s="43" t="s">
        <v>574</v>
      </c>
      <c r="D64" s="44" t="s">
        <v>575</v>
      </c>
      <c r="E64" s="27" t="s">
        <v>674</v>
      </c>
      <c r="F64" s="28" t="s">
        <v>59</v>
      </c>
      <c r="G64" s="45">
        <v>5.6</v>
      </c>
      <c r="H64" s="46">
        <v>189175</v>
      </c>
      <c r="I64" s="47">
        <f t="shared" si="2"/>
        <v>1059380</v>
      </c>
      <c r="J64" s="48" t="str">
        <f>IF(ABS(G64*H64-1059380)&lt;1,"✓ OK","⚠ ÉCART")</f>
        <v>✓ OK</v>
      </c>
    </row>
    <row r="65" spans="1:10" ht="15.75" customHeight="1" x14ac:dyDescent="0.25">
      <c r="A65" s="35" t="s">
        <v>675</v>
      </c>
      <c r="B65" s="17" t="s">
        <v>13</v>
      </c>
      <c r="C65" s="36" t="s">
        <v>574</v>
      </c>
      <c r="D65" s="37" t="s">
        <v>575</v>
      </c>
      <c r="E65" s="19" t="s">
        <v>676</v>
      </c>
      <c r="F65" s="20" t="s">
        <v>54</v>
      </c>
      <c r="G65" s="38">
        <v>4.92</v>
      </c>
      <c r="H65" s="39">
        <v>5750</v>
      </c>
      <c r="I65" s="40">
        <f t="shared" si="2"/>
        <v>28290</v>
      </c>
      <c r="J65" s="41" t="str">
        <f>IF(ABS(G65*H65-28290)&lt;1,"✓ OK","⚠ ÉCART")</f>
        <v>✓ OK</v>
      </c>
    </row>
    <row r="66" spans="1:10" ht="15.75" customHeight="1" x14ac:dyDescent="0.25">
      <c r="A66" s="42" t="s">
        <v>677</v>
      </c>
      <c r="B66" s="25" t="s">
        <v>13</v>
      </c>
      <c r="C66" s="43" t="s">
        <v>578</v>
      </c>
      <c r="D66" s="44" t="s">
        <v>575</v>
      </c>
      <c r="E66" s="27" t="s">
        <v>646</v>
      </c>
      <c r="F66" s="28" t="s">
        <v>59</v>
      </c>
      <c r="G66" s="45">
        <v>1.2</v>
      </c>
      <c r="H66" s="46">
        <v>189175</v>
      </c>
      <c r="I66" s="47">
        <f t="shared" si="2"/>
        <v>227010</v>
      </c>
      <c r="J66" s="48" t="str">
        <f>IF(ABS(G66*H66-227010)&lt;1,"✓ OK","⚠ ÉCART")</f>
        <v>✓ OK</v>
      </c>
    </row>
    <row r="67" spans="1:10" ht="15.75" customHeight="1" x14ac:dyDescent="0.25">
      <c r="A67" s="35" t="s">
        <v>678</v>
      </c>
      <c r="B67" s="17" t="s">
        <v>13</v>
      </c>
      <c r="C67" s="36" t="s">
        <v>578</v>
      </c>
      <c r="D67" s="37" t="s">
        <v>575</v>
      </c>
      <c r="E67" s="19" t="s">
        <v>648</v>
      </c>
      <c r="F67" s="20" t="s">
        <v>54</v>
      </c>
      <c r="G67" s="38">
        <v>18</v>
      </c>
      <c r="H67" s="39">
        <v>5750</v>
      </c>
      <c r="I67" s="40">
        <f t="shared" si="2"/>
        <v>103500</v>
      </c>
      <c r="J67" s="41" t="str">
        <f>IF(ABS(G67*H67-103500)&lt;1,"✓ OK","⚠ ÉCART")</f>
        <v>✓ OK</v>
      </c>
    </row>
    <row r="68" spans="1:10" ht="15.75" customHeight="1" x14ac:dyDescent="0.25">
      <c r="A68" s="42" t="s">
        <v>679</v>
      </c>
      <c r="B68" s="25" t="s">
        <v>13</v>
      </c>
      <c r="C68" s="43" t="s">
        <v>578</v>
      </c>
      <c r="D68" s="44" t="s">
        <v>575</v>
      </c>
      <c r="E68" s="27" t="s">
        <v>650</v>
      </c>
      <c r="F68" s="28" t="s">
        <v>75</v>
      </c>
      <c r="G68" s="45">
        <v>84</v>
      </c>
      <c r="H68" s="46">
        <v>1380</v>
      </c>
      <c r="I68" s="47">
        <f t="shared" si="2"/>
        <v>115920</v>
      </c>
      <c r="J68" s="48" t="str">
        <f>IF(ABS(G68*H68-115920)&lt;1,"✓ OK","⚠ ÉCART")</f>
        <v>✓ OK</v>
      </c>
    </row>
    <row r="69" spans="1:10" ht="15.75" customHeight="1" x14ac:dyDescent="0.25">
      <c r="A69" s="35" t="s">
        <v>680</v>
      </c>
      <c r="B69" s="17" t="s">
        <v>13</v>
      </c>
      <c r="C69" s="36" t="s">
        <v>578</v>
      </c>
      <c r="D69" s="37" t="s">
        <v>575</v>
      </c>
      <c r="E69" s="19" t="s">
        <v>666</v>
      </c>
      <c r="F69" s="20" t="s">
        <v>54</v>
      </c>
      <c r="G69" s="38">
        <v>151.53</v>
      </c>
      <c r="H69" s="39">
        <v>11185</v>
      </c>
      <c r="I69" s="40">
        <f t="shared" si="2"/>
        <v>1694863.05</v>
      </c>
      <c r="J69" s="41" t="str">
        <f>IF(ABS(G69*H69-1694863)&lt;1,"✓ OK","⚠ ÉCART")</f>
        <v>✓ OK</v>
      </c>
    </row>
    <row r="70" spans="1:10" ht="15.75" customHeight="1" x14ac:dyDescent="0.25">
      <c r="A70" s="42" t="s">
        <v>681</v>
      </c>
      <c r="B70" s="25" t="s">
        <v>13</v>
      </c>
      <c r="C70" s="43" t="s">
        <v>578</v>
      </c>
      <c r="D70" s="44" t="s">
        <v>575</v>
      </c>
      <c r="E70" s="27" t="s">
        <v>682</v>
      </c>
      <c r="F70" s="28" t="s">
        <v>54</v>
      </c>
      <c r="G70" s="45">
        <v>555.05999999999995</v>
      </c>
      <c r="H70" s="46">
        <v>3827</v>
      </c>
      <c r="I70" s="47">
        <f t="shared" si="2"/>
        <v>2124214.6199999996</v>
      </c>
      <c r="J70" s="48" t="str">
        <f>IF(ABS(G70*H70-2124215)&lt;1,"✓ OK","⚠ ÉCART")</f>
        <v>✓ OK</v>
      </c>
    </row>
    <row r="71" spans="1:10" ht="15.75" customHeight="1" x14ac:dyDescent="0.25">
      <c r="A71" s="35" t="s">
        <v>683</v>
      </c>
      <c r="B71" s="17" t="s">
        <v>13</v>
      </c>
      <c r="C71" s="36" t="s">
        <v>578</v>
      </c>
      <c r="D71" s="37" t="s">
        <v>575</v>
      </c>
      <c r="E71" s="19" t="s">
        <v>91</v>
      </c>
      <c r="F71" s="20" t="s">
        <v>54</v>
      </c>
      <c r="G71" s="38">
        <v>180</v>
      </c>
      <c r="H71" s="39">
        <v>3827</v>
      </c>
      <c r="I71" s="40">
        <f t="shared" si="2"/>
        <v>688860</v>
      </c>
      <c r="J71" s="41" t="str">
        <f>IF(ABS(G71*H71-688860)&lt;1,"✓ OK","⚠ ÉCART")</f>
        <v>✓ OK</v>
      </c>
    </row>
    <row r="72" spans="1:10" ht="15.75" customHeight="1" x14ac:dyDescent="0.25">
      <c r="A72" s="42" t="s">
        <v>684</v>
      </c>
      <c r="B72" s="25" t="s">
        <v>13</v>
      </c>
      <c r="C72" s="43" t="s">
        <v>578</v>
      </c>
      <c r="D72" s="44" t="s">
        <v>575</v>
      </c>
      <c r="E72" s="27" t="s">
        <v>685</v>
      </c>
      <c r="F72" s="28" t="s">
        <v>16</v>
      </c>
      <c r="G72" s="45">
        <v>1</v>
      </c>
      <c r="H72" s="46">
        <v>1914957</v>
      </c>
      <c r="I72" s="47">
        <f t="shared" si="2"/>
        <v>1914957</v>
      </c>
      <c r="J72" s="48" t="str">
        <f>IF(ABS(G72*H72-1914957)&lt;1,"✓ OK","⚠ ÉCART")</f>
        <v>✓ OK</v>
      </c>
    </row>
    <row r="73" spans="1:10" ht="15.75" customHeight="1" x14ac:dyDescent="0.25">
      <c r="A73" s="6" t="s">
        <v>686</v>
      </c>
      <c r="B73" s="6"/>
      <c r="C73" s="6"/>
      <c r="D73" s="6"/>
      <c r="E73" s="6"/>
      <c r="F73" s="6"/>
      <c r="G73" s="6"/>
      <c r="H73" s="6"/>
      <c r="I73" s="6"/>
      <c r="J73" s="6"/>
    </row>
    <row r="74" spans="1:10" ht="15.75" customHeight="1" x14ac:dyDescent="0.25">
      <c r="A74" s="42" t="s">
        <v>687</v>
      </c>
      <c r="B74" s="25" t="s">
        <v>13</v>
      </c>
      <c r="C74" s="43" t="s">
        <v>574</v>
      </c>
      <c r="D74" s="44" t="s">
        <v>579</v>
      </c>
      <c r="E74" s="27" t="s">
        <v>628</v>
      </c>
      <c r="F74" s="28" t="s">
        <v>59</v>
      </c>
      <c r="G74" s="45">
        <v>2.48</v>
      </c>
      <c r="H74" s="46">
        <v>189175</v>
      </c>
      <c r="I74" s="47">
        <f t="shared" ref="I74:I106" si="3">G74*H74</f>
        <v>469154</v>
      </c>
      <c r="J74" s="48" t="str">
        <f>IF(ABS(G74*H74-469154)&lt;1,"✓ OK","⚠ ÉCART")</f>
        <v>✓ OK</v>
      </c>
    </row>
    <row r="75" spans="1:10" ht="15.75" customHeight="1" x14ac:dyDescent="0.25">
      <c r="A75" s="35" t="s">
        <v>688</v>
      </c>
      <c r="B75" s="17" t="s">
        <v>13</v>
      </c>
      <c r="C75" s="36" t="s">
        <v>574</v>
      </c>
      <c r="D75" s="37" t="s">
        <v>579</v>
      </c>
      <c r="E75" s="19" t="s">
        <v>630</v>
      </c>
      <c r="F75" s="20" t="s">
        <v>54</v>
      </c>
      <c r="G75" s="38">
        <v>39.6</v>
      </c>
      <c r="H75" s="39">
        <v>5750</v>
      </c>
      <c r="I75" s="40">
        <f t="shared" si="3"/>
        <v>227700</v>
      </c>
      <c r="J75" s="41" t="str">
        <f>IF(ABS(G75*H75-227700)&lt;1,"✓ OK","⚠ ÉCART")</f>
        <v>✓ OK</v>
      </c>
    </row>
    <row r="76" spans="1:10" ht="15.75" customHeight="1" x14ac:dyDescent="0.25">
      <c r="A76" s="42" t="s">
        <v>689</v>
      </c>
      <c r="B76" s="25" t="s">
        <v>13</v>
      </c>
      <c r="C76" s="43" t="s">
        <v>574</v>
      </c>
      <c r="D76" s="44" t="s">
        <v>579</v>
      </c>
      <c r="E76" s="27" t="s">
        <v>632</v>
      </c>
      <c r="F76" s="28" t="s">
        <v>75</v>
      </c>
      <c r="G76" s="45">
        <v>297.60000000000002</v>
      </c>
      <c r="H76" s="46">
        <v>1380</v>
      </c>
      <c r="I76" s="47">
        <f t="shared" si="3"/>
        <v>410688.00000000006</v>
      </c>
      <c r="J76" s="48" t="str">
        <f>IF(ABS(G76*H76-410688)&lt;1,"✓ OK","⚠ ÉCART")</f>
        <v>✓ OK</v>
      </c>
    </row>
    <row r="77" spans="1:10" ht="15.75" customHeight="1" x14ac:dyDescent="0.25">
      <c r="A77" s="35" t="s">
        <v>690</v>
      </c>
      <c r="B77" s="17" t="s">
        <v>13</v>
      </c>
      <c r="C77" s="36" t="s">
        <v>574</v>
      </c>
      <c r="D77" s="37" t="s">
        <v>579</v>
      </c>
      <c r="E77" s="19" t="s">
        <v>634</v>
      </c>
      <c r="F77" s="20" t="s">
        <v>59</v>
      </c>
      <c r="G77" s="38">
        <v>3.72</v>
      </c>
      <c r="H77" s="39">
        <v>189175</v>
      </c>
      <c r="I77" s="40">
        <f t="shared" si="3"/>
        <v>703731</v>
      </c>
      <c r="J77" s="41" t="str">
        <f>IF(ABS(G77*H77-703731)&lt;1,"✓ OK","⚠ ÉCART")</f>
        <v>✓ OK</v>
      </c>
    </row>
    <row r="78" spans="1:10" ht="15.75" customHeight="1" x14ac:dyDescent="0.25">
      <c r="A78" s="42" t="s">
        <v>691</v>
      </c>
      <c r="B78" s="25" t="s">
        <v>13</v>
      </c>
      <c r="C78" s="43" t="s">
        <v>574</v>
      </c>
      <c r="D78" s="44" t="s">
        <v>579</v>
      </c>
      <c r="E78" s="27" t="s">
        <v>636</v>
      </c>
      <c r="F78" s="28" t="s">
        <v>54</v>
      </c>
      <c r="G78" s="45">
        <v>46.46</v>
      </c>
      <c r="H78" s="46">
        <v>5750</v>
      </c>
      <c r="I78" s="47">
        <f t="shared" si="3"/>
        <v>267145</v>
      </c>
      <c r="J78" s="48" t="str">
        <f>IF(ABS(G78*H78-267145)&lt;1,"✓ OK","⚠ ÉCART")</f>
        <v>✓ OK</v>
      </c>
    </row>
    <row r="79" spans="1:10" ht="15.75" customHeight="1" x14ac:dyDescent="0.25">
      <c r="A79" s="35" t="s">
        <v>692</v>
      </c>
      <c r="B79" s="17" t="s">
        <v>13</v>
      </c>
      <c r="C79" s="36" t="s">
        <v>574</v>
      </c>
      <c r="D79" s="37" t="s">
        <v>579</v>
      </c>
      <c r="E79" s="19" t="s">
        <v>638</v>
      </c>
      <c r="F79" s="20" t="s">
        <v>75</v>
      </c>
      <c r="G79" s="38">
        <v>483.6</v>
      </c>
      <c r="H79" s="39">
        <v>1380</v>
      </c>
      <c r="I79" s="40">
        <f t="shared" si="3"/>
        <v>667368</v>
      </c>
      <c r="J79" s="41" t="str">
        <f>IF(ABS(G79*H79-667368)&lt;1,"✓ OK","⚠ ÉCART")</f>
        <v>✓ OK</v>
      </c>
    </row>
    <row r="80" spans="1:10" ht="15.75" customHeight="1" x14ac:dyDescent="0.25">
      <c r="A80" s="42" t="s">
        <v>693</v>
      </c>
      <c r="B80" s="25" t="s">
        <v>13</v>
      </c>
      <c r="C80" s="43" t="s">
        <v>574</v>
      </c>
      <c r="D80" s="44" t="s">
        <v>579</v>
      </c>
      <c r="E80" s="27" t="s">
        <v>694</v>
      </c>
      <c r="F80" s="28" t="s">
        <v>59</v>
      </c>
      <c r="G80" s="45">
        <v>0.95</v>
      </c>
      <c r="H80" s="46">
        <v>189175</v>
      </c>
      <c r="I80" s="47">
        <f t="shared" si="3"/>
        <v>179716.25</v>
      </c>
      <c r="J80" s="48" t="str">
        <f>IF(ABS(G80*H80-179716)&lt;1,"✓ OK","⚠ ÉCART")</f>
        <v>✓ OK</v>
      </c>
    </row>
    <row r="81" spans="1:10" ht="15.75" customHeight="1" x14ac:dyDescent="0.25">
      <c r="A81" s="35" t="s">
        <v>695</v>
      </c>
      <c r="B81" s="17" t="s">
        <v>13</v>
      </c>
      <c r="C81" s="36" t="s">
        <v>574</v>
      </c>
      <c r="D81" s="37" t="s">
        <v>579</v>
      </c>
      <c r="E81" s="19" t="s">
        <v>696</v>
      </c>
      <c r="F81" s="20" t="s">
        <v>54</v>
      </c>
      <c r="G81" s="38">
        <v>14.28</v>
      </c>
      <c r="H81" s="39">
        <v>5750</v>
      </c>
      <c r="I81" s="40">
        <f t="shared" si="3"/>
        <v>82110</v>
      </c>
      <c r="J81" s="41" t="str">
        <f>IF(ABS(G81*H81-82110)&lt;1,"✓ OK","⚠ ÉCART")</f>
        <v>✓ OK</v>
      </c>
    </row>
    <row r="82" spans="1:10" ht="15.75" customHeight="1" x14ac:dyDescent="0.25">
      <c r="A82" s="42" t="s">
        <v>697</v>
      </c>
      <c r="B82" s="25" t="s">
        <v>13</v>
      </c>
      <c r="C82" s="43" t="s">
        <v>574</v>
      </c>
      <c r="D82" s="44" t="s">
        <v>579</v>
      </c>
      <c r="E82" s="27" t="s">
        <v>698</v>
      </c>
      <c r="F82" s="28" t="s">
        <v>75</v>
      </c>
      <c r="G82" s="45">
        <v>66.5</v>
      </c>
      <c r="H82" s="46">
        <v>1380</v>
      </c>
      <c r="I82" s="47">
        <f t="shared" si="3"/>
        <v>91770</v>
      </c>
      <c r="J82" s="48" t="str">
        <f>IF(ABS(G82*H82-91770)&lt;1,"✓ OK","⚠ ÉCART")</f>
        <v>✓ OK</v>
      </c>
    </row>
    <row r="83" spans="1:10" ht="15.75" customHeight="1" x14ac:dyDescent="0.25">
      <c r="A83" s="35" t="s">
        <v>699</v>
      </c>
      <c r="B83" s="17" t="s">
        <v>13</v>
      </c>
      <c r="C83" s="36" t="s">
        <v>574</v>
      </c>
      <c r="D83" s="37" t="s">
        <v>579</v>
      </c>
      <c r="E83" s="19" t="s">
        <v>658</v>
      </c>
      <c r="F83" s="20" t="s">
        <v>59</v>
      </c>
      <c r="G83" s="38">
        <v>4.4400000000000004</v>
      </c>
      <c r="H83" s="39">
        <v>189175</v>
      </c>
      <c r="I83" s="40">
        <f t="shared" si="3"/>
        <v>839937.00000000012</v>
      </c>
      <c r="J83" s="41" t="str">
        <f>IF(ABS(G83*H83-839937)&lt;1,"✓ OK","⚠ ÉCART")</f>
        <v>✓ OK</v>
      </c>
    </row>
    <row r="84" spans="1:10" ht="15.75" customHeight="1" x14ac:dyDescent="0.25">
      <c r="A84" s="42" t="s">
        <v>700</v>
      </c>
      <c r="B84" s="25" t="s">
        <v>13</v>
      </c>
      <c r="C84" s="43" t="s">
        <v>574</v>
      </c>
      <c r="D84" s="44" t="s">
        <v>579</v>
      </c>
      <c r="E84" s="27" t="s">
        <v>660</v>
      </c>
      <c r="F84" s="28" t="s">
        <v>54</v>
      </c>
      <c r="G84" s="45">
        <v>37</v>
      </c>
      <c r="H84" s="46">
        <v>14231</v>
      </c>
      <c r="I84" s="47">
        <f t="shared" si="3"/>
        <v>526547</v>
      </c>
      <c r="J84" s="48" t="str">
        <f>IF(ABS(G84*H84-526547)&lt;1,"✓ OK","⚠ ÉCART")</f>
        <v>✓ OK</v>
      </c>
    </row>
    <row r="85" spans="1:10" ht="15.75" customHeight="1" x14ac:dyDescent="0.25">
      <c r="A85" s="35" t="s">
        <v>701</v>
      </c>
      <c r="B85" s="17" t="s">
        <v>13</v>
      </c>
      <c r="C85" s="36" t="s">
        <v>574</v>
      </c>
      <c r="D85" s="37" t="s">
        <v>579</v>
      </c>
      <c r="E85" s="19" t="s">
        <v>662</v>
      </c>
      <c r="F85" s="20" t="s">
        <v>54</v>
      </c>
      <c r="G85" s="38">
        <v>37</v>
      </c>
      <c r="H85" s="39">
        <v>5750</v>
      </c>
      <c r="I85" s="40">
        <f t="shared" si="3"/>
        <v>212750</v>
      </c>
      <c r="J85" s="41" t="str">
        <f>IF(ABS(G85*H85-212750)&lt;1,"✓ OK","⚠ ÉCART")</f>
        <v>✓ OK</v>
      </c>
    </row>
    <row r="86" spans="1:10" ht="15.75" customHeight="1" x14ac:dyDescent="0.25">
      <c r="A86" s="42" t="s">
        <v>702</v>
      </c>
      <c r="B86" s="25" t="s">
        <v>13</v>
      </c>
      <c r="C86" s="43" t="s">
        <v>574</v>
      </c>
      <c r="D86" s="44" t="s">
        <v>579</v>
      </c>
      <c r="E86" s="27" t="s">
        <v>664</v>
      </c>
      <c r="F86" s="28" t="s">
        <v>75</v>
      </c>
      <c r="G86" s="45">
        <v>400</v>
      </c>
      <c r="H86" s="46">
        <v>1380</v>
      </c>
      <c r="I86" s="47">
        <f t="shared" si="3"/>
        <v>552000</v>
      </c>
      <c r="J86" s="48" t="str">
        <f>IF(ABS(G86*H86-552000)&lt;1,"✓ OK","⚠ ÉCART")</f>
        <v>✓ OK</v>
      </c>
    </row>
    <row r="87" spans="1:10" ht="15.75" customHeight="1" x14ac:dyDescent="0.25">
      <c r="A87" s="35" t="s">
        <v>703</v>
      </c>
      <c r="B87" s="17" t="s">
        <v>13</v>
      </c>
      <c r="C87" s="36" t="s">
        <v>574</v>
      </c>
      <c r="D87" s="37" t="s">
        <v>579</v>
      </c>
      <c r="E87" s="19" t="s">
        <v>666</v>
      </c>
      <c r="F87" s="20" t="s">
        <v>54</v>
      </c>
      <c r="G87" s="38">
        <v>147.81</v>
      </c>
      <c r="H87" s="39">
        <v>11185</v>
      </c>
      <c r="I87" s="40">
        <f t="shared" si="3"/>
        <v>1653254.85</v>
      </c>
      <c r="J87" s="41" t="str">
        <f>IF(ABS(G87*H87-1653255)&lt;1,"✓ OK","⚠ ÉCART")</f>
        <v>✓ OK</v>
      </c>
    </row>
    <row r="88" spans="1:10" ht="15.75" customHeight="1" x14ac:dyDescent="0.25">
      <c r="A88" s="42" t="s">
        <v>704</v>
      </c>
      <c r="B88" s="25" t="s">
        <v>13</v>
      </c>
      <c r="C88" s="43" t="s">
        <v>574</v>
      </c>
      <c r="D88" s="44" t="s">
        <v>579</v>
      </c>
      <c r="E88" s="27" t="s">
        <v>682</v>
      </c>
      <c r="F88" s="28" t="s">
        <v>54</v>
      </c>
      <c r="G88" s="45">
        <v>295.62</v>
      </c>
      <c r="H88" s="46">
        <v>3827</v>
      </c>
      <c r="I88" s="47">
        <f t="shared" si="3"/>
        <v>1131337.74</v>
      </c>
      <c r="J88" s="48" t="str">
        <f>IF(ABS(G88*H88-1131338)&lt;1,"✓ OK","⚠ ÉCART")</f>
        <v>✓ OK</v>
      </c>
    </row>
    <row r="89" spans="1:10" ht="15.75" customHeight="1" x14ac:dyDescent="0.25">
      <c r="A89" s="35" t="s">
        <v>705</v>
      </c>
      <c r="B89" s="17" t="s">
        <v>13</v>
      </c>
      <c r="C89" s="36" t="s">
        <v>574</v>
      </c>
      <c r="D89" s="37" t="s">
        <v>579</v>
      </c>
      <c r="E89" s="19" t="s">
        <v>91</v>
      </c>
      <c r="F89" s="20" t="s">
        <v>54</v>
      </c>
      <c r="G89" s="38">
        <v>553</v>
      </c>
      <c r="H89" s="39">
        <v>3827</v>
      </c>
      <c r="I89" s="40">
        <f t="shared" si="3"/>
        <v>2116331</v>
      </c>
      <c r="J89" s="41" t="str">
        <f>IF(ABS(G89*H89-2116331)&lt;1,"✓ OK","⚠ ÉCART")</f>
        <v>✓ OK</v>
      </c>
    </row>
    <row r="90" spans="1:10" ht="15.75" customHeight="1" x14ac:dyDescent="0.25">
      <c r="A90" s="42" t="s">
        <v>706</v>
      </c>
      <c r="B90" s="25" t="s">
        <v>13</v>
      </c>
      <c r="C90" s="43" t="s">
        <v>574</v>
      </c>
      <c r="D90" s="44" t="s">
        <v>579</v>
      </c>
      <c r="E90" s="27" t="s">
        <v>707</v>
      </c>
      <c r="F90" s="28" t="s">
        <v>16</v>
      </c>
      <c r="G90" s="45">
        <v>1</v>
      </c>
      <c r="H90" s="46">
        <v>1150000</v>
      </c>
      <c r="I90" s="47">
        <f t="shared" si="3"/>
        <v>1150000</v>
      </c>
      <c r="J90" s="48" t="str">
        <f>IF(ABS(G90*H90-1150000)&lt;1,"✓ OK","⚠ ÉCART")</f>
        <v>✓ OK</v>
      </c>
    </row>
    <row r="91" spans="1:10" ht="15.75" customHeight="1" x14ac:dyDescent="0.25">
      <c r="A91" s="35" t="s">
        <v>708</v>
      </c>
      <c r="B91" s="17" t="s">
        <v>13</v>
      </c>
      <c r="C91" s="36" t="s">
        <v>574</v>
      </c>
      <c r="D91" s="37" t="s">
        <v>579</v>
      </c>
      <c r="E91" s="19" t="s">
        <v>672</v>
      </c>
      <c r="F91" s="20" t="s">
        <v>16</v>
      </c>
      <c r="G91" s="38">
        <v>1</v>
      </c>
      <c r="H91" s="39">
        <v>1725000</v>
      </c>
      <c r="I91" s="40">
        <f t="shared" si="3"/>
        <v>1725000</v>
      </c>
      <c r="J91" s="41" t="str">
        <f>IF(ABS(G91*H91-1725000)&lt;1,"✓ OK","⚠ ÉCART")</f>
        <v>✓ OK</v>
      </c>
    </row>
    <row r="92" spans="1:10" ht="15.75" customHeight="1" x14ac:dyDescent="0.25">
      <c r="A92" s="42" t="s">
        <v>709</v>
      </c>
      <c r="B92" s="25" t="s">
        <v>13</v>
      </c>
      <c r="C92" s="43" t="s">
        <v>574</v>
      </c>
      <c r="D92" s="44" t="s">
        <v>579</v>
      </c>
      <c r="E92" s="27" t="s">
        <v>646</v>
      </c>
      <c r="F92" s="28" t="s">
        <v>59</v>
      </c>
      <c r="G92" s="45">
        <v>1.53</v>
      </c>
      <c r="H92" s="46">
        <v>189175</v>
      </c>
      <c r="I92" s="47">
        <f t="shared" si="3"/>
        <v>289437.75</v>
      </c>
      <c r="J92" s="48" t="str">
        <f>IF(ABS(G92*H92-289438)&lt;1,"✓ OK","⚠ ÉCART")</f>
        <v>✓ OK</v>
      </c>
    </row>
    <row r="93" spans="1:10" ht="15.75" customHeight="1" x14ac:dyDescent="0.25">
      <c r="A93" s="35" t="s">
        <v>710</v>
      </c>
      <c r="B93" s="17" t="s">
        <v>13</v>
      </c>
      <c r="C93" s="36" t="s">
        <v>574</v>
      </c>
      <c r="D93" s="37" t="s">
        <v>579</v>
      </c>
      <c r="E93" s="19" t="s">
        <v>648</v>
      </c>
      <c r="F93" s="20" t="s">
        <v>54</v>
      </c>
      <c r="G93" s="38">
        <v>22.98</v>
      </c>
      <c r="H93" s="39">
        <v>5750</v>
      </c>
      <c r="I93" s="40">
        <f t="shared" si="3"/>
        <v>132135</v>
      </c>
      <c r="J93" s="41" t="str">
        <f>IF(ABS(G93*H93-132135)&lt;1,"✓ OK","⚠ ÉCART")</f>
        <v>✓ OK</v>
      </c>
    </row>
    <row r="94" spans="1:10" ht="15.75" customHeight="1" x14ac:dyDescent="0.25">
      <c r="A94" s="42" t="s">
        <v>711</v>
      </c>
      <c r="B94" s="25" t="s">
        <v>13</v>
      </c>
      <c r="C94" s="43" t="s">
        <v>574</v>
      </c>
      <c r="D94" s="44" t="s">
        <v>579</v>
      </c>
      <c r="E94" s="27" t="s">
        <v>650</v>
      </c>
      <c r="F94" s="28" t="s">
        <v>75</v>
      </c>
      <c r="G94" s="45">
        <v>107.1</v>
      </c>
      <c r="H94" s="46">
        <v>1380</v>
      </c>
      <c r="I94" s="47">
        <f t="shared" si="3"/>
        <v>147798</v>
      </c>
      <c r="J94" s="48" t="str">
        <f>IF(ABS(G94*H94-147798)&lt;1,"✓ OK","⚠ ÉCART")</f>
        <v>✓ OK</v>
      </c>
    </row>
    <row r="95" spans="1:10" ht="15.75" customHeight="1" x14ac:dyDescent="0.25">
      <c r="A95" s="35" t="s">
        <v>712</v>
      </c>
      <c r="B95" s="17" t="s">
        <v>13</v>
      </c>
      <c r="C95" s="36" t="s">
        <v>578</v>
      </c>
      <c r="D95" s="37" t="s">
        <v>579</v>
      </c>
      <c r="E95" s="19" t="s">
        <v>634</v>
      </c>
      <c r="F95" s="20" t="s">
        <v>59</v>
      </c>
      <c r="G95" s="38">
        <v>8.16</v>
      </c>
      <c r="H95" s="39">
        <v>189175</v>
      </c>
      <c r="I95" s="40">
        <f t="shared" si="3"/>
        <v>1543668</v>
      </c>
      <c r="J95" s="41" t="str">
        <f>IF(ABS(G95*H95-1543668)&lt;1,"✓ OK","⚠ ÉCART")</f>
        <v>✓ OK</v>
      </c>
    </row>
    <row r="96" spans="1:10" ht="15.75" customHeight="1" x14ac:dyDescent="0.25">
      <c r="A96" s="42" t="s">
        <v>713</v>
      </c>
      <c r="B96" s="25" t="s">
        <v>13</v>
      </c>
      <c r="C96" s="43" t="s">
        <v>578</v>
      </c>
      <c r="D96" s="44" t="s">
        <v>579</v>
      </c>
      <c r="E96" s="27" t="s">
        <v>636</v>
      </c>
      <c r="F96" s="28" t="s">
        <v>54</v>
      </c>
      <c r="G96" s="45">
        <v>102</v>
      </c>
      <c r="H96" s="46">
        <v>5750</v>
      </c>
      <c r="I96" s="47">
        <f t="shared" si="3"/>
        <v>586500</v>
      </c>
      <c r="J96" s="48" t="str">
        <f>IF(ABS(G96*H96-586500)&lt;1,"✓ OK","⚠ ÉCART")</f>
        <v>✓ OK</v>
      </c>
    </row>
    <row r="97" spans="1:10" ht="15.75" customHeight="1" x14ac:dyDescent="0.25">
      <c r="A97" s="35" t="s">
        <v>714</v>
      </c>
      <c r="B97" s="17" t="s">
        <v>13</v>
      </c>
      <c r="C97" s="36" t="s">
        <v>578</v>
      </c>
      <c r="D97" s="37" t="s">
        <v>579</v>
      </c>
      <c r="E97" s="19" t="s">
        <v>638</v>
      </c>
      <c r="F97" s="20" t="s">
        <v>75</v>
      </c>
      <c r="G97" s="38">
        <v>1060.8</v>
      </c>
      <c r="H97" s="39">
        <v>1380</v>
      </c>
      <c r="I97" s="40">
        <f t="shared" si="3"/>
        <v>1463904</v>
      </c>
      <c r="J97" s="41" t="str">
        <f>IF(ABS(G97*H97-1463904)&lt;1,"✓ OK","⚠ ÉCART")</f>
        <v>✓ OK</v>
      </c>
    </row>
    <row r="98" spans="1:10" ht="15.75" customHeight="1" x14ac:dyDescent="0.25">
      <c r="A98" s="42" t="s">
        <v>715</v>
      </c>
      <c r="B98" s="25" t="s">
        <v>13</v>
      </c>
      <c r="C98" s="43" t="s">
        <v>578</v>
      </c>
      <c r="D98" s="44" t="s">
        <v>579</v>
      </c>
      <c r="E98" s="27" t="s">
        <v>658</v>
      </c>
      <c r="F98" s="28" t="s">
        <v>59</v>
      </c>
      <c r="G98" s="45">
        <v>28.2</v>
      </c>
      <c r="H98" s="46">
        <v>189175</v>
      </c>
      <c r="I98" s="47">
        <f t="shared" si="3"/>
        <v>5334735</v>
      </c>
      <c r="J98" s="48" t="str">
        <f>IF(ABS(G98*H98-5334735)&lt;1,"✓ OK","⚠ ÉCART")</f>
        <v>✓ OK</v>
      </c>
    </row>
    <row r="99" spans="1:10" ht="15.75" customHeight="1" x14ac:dyDescent="0.25">
      <c r="A99" s="35" t="s">
        <v>716</v>
      </c>
      <c r="B99" s="17" t="s">
        <v>13</v>
      </c>
      <c r="C99" s="36" t="s">
        <v>578</v>
      </c>
      <c r="D99" s="37" t="s">
        <v>579</v>
      </c>
      <c r="E99" s="19" t="s">
        <v>660</v>
      </c>
      <c r="F99" s="20" t="s">
        <v>54</v>
      </c>
      <c r="G99" s="38">
        <v>235</v>
      </c>
      <c r="H99" s="39">
        <v>14231</v>
      </c>
      <c r="I99" s="40">
        <f t="shared" si="3"/>
        <v>3344285</v>
      </c>
      <c r="J99" s="41" t="str">
        <f>IF(ABS(G99*H99-3344285)&lt;1,"✓ OK","⚠ ÉCART")</f>
        <v>✓ OK</v>
      </c>
    </row>
    <row r="100" spans="1:10" ht="15.75" customHeight="1" x14ac:dyDescent="0.25">
      <c r="A100" s="42" t="s">
        <v>717</v>
      </c>
      <c r="B100" s="25" t="s">
        <v>13</v>
      </c>
      <c r="C100" s="43" t="s">
        <v>578</v>
      </c>
      <c r="D100" s="44" t="s">
        <v>579</v>
      </c>
      <c r="E100" s="27" t="s">
        <v>662</v>
      </c>
      <c r="F100" s="28" t="s">
        <v>54</v>
      </c>
      <c r="G100" s="45">
        <v>235</v>
      </c>
      <c r="H100" s="46">
        <v>5750</v>
      </c>
      <c r="I100" s="47">
        <f t="shared" si="3"/>
        <v>1351250</v>
      </c>
      <c r="J100" s="48" t="str">
        <f>IF(ABS(G100*H100-1351250)&lt;1,"✓ OK","⚠ ÉCART")</f>
        <v>✓ OK</v>
      </c>
    </row>
    <row r="101" spans="1:10" ht="15.75" customHeight="1" x14ac:dyDescent="0.25">
      <c r="A101" s="35" t="s">
        <v>718</v>
      </c>
      <c r="B101" s="17" t="s">
        <v>13</v>
      </c>
      <c r="C101" s="36" t="s">
        <v>578</v>
      </c>
      <c r="D101" s="37" t="s">
        <v>579</v>
      </c>
      <c r="E101" s="19" t="s">
        <v>664</v>
      </c>
      <c r="F101" s="20" t="s">
        <v>75</v>
      </c>
      <c r="G101" s="38">
        <v>2538</v>
      </c>
      <c r="H101" s="39">
        <v>1380</v>
      </c>
      <c r="I101" s="40">
        <f t="shared" si="3"/>
        <v>3502440</v>
      </c>
      <c r="J101" s="41" t="str">
        <f>IF(ABS(G101*H101-3502440)&lt;1,"✓ OK","⚠ ÉCART")</f>
        <v>✓ OK</v>
      </c>
    </row>
    <row r="102" spans="1:10" ht="15.75" customHeight="1" x14ac:dyDescent="0.25">
      <c r="A102" s="42" t="s">
        <v>719</v>
      </c>
      <c r="B102" s="25" t="s">
        <v>13</v>
      </c>
      <c r="C102" s="43" t="s">
        <v>578</v>
      </c>
      <c r="D102" s="44" t="s">
        <v>579</v>
      </c>
      <c r="E102" s="27" t="s">
        <v>666</v>
      </c>
      <c r="F102" s="28" t="s">
        <v>54</v>
      </c>
      <c r="G102" s="45">
        <v>27.06</v>
      </c>
      <c r="H102" s="46">
        <v>11185</v>
      </c>
      <c r="I102" s="47">
        <f t="shared" si="3"/>
        <v>302666.09999999998</v>
      </c>
      <c r="J102" s="48" t="str">
        <f>IF(ABS(G102*H102-302666)&lt;1,"✓ OK","⚠ ÉCART")</f>
        <v>✓ OK</v>
      </c>
    </row>
    <row r="103" spans="1:10" ht="15.75" customHeight="1" x14ac:dyDescent="0.25">
      <c r="A103" s="35" t="s">
        <v>720</v>
      </c>
      <c r="B103" s="17" t="s">
        <v>13</v>
      </c>
      <c r="C103" s="36" t="s">
        <v>578</v>
      </c>
      <c r="D103" s="37" t="s">
        <v>579</v>
      </c>
      <c r="E103" s="19" t="s">
        <v>682</v>
      </c>
      <c r="F103" s="20" t="s">
        <v>54</v>
      </c>
      <c r="G103" s="38">
        <v>676.2</v>
      </c>
      <c r="H103" s="39">
        <v>3827</v>
      </c>
      <c r="I103" s="40">
        <f t="shared" si="3"/>
        <v>2587817.4000000004</v>
      </c>
      <c r="J103" s="41" t="str">
        <f>IF(ABS(G103*H103-2587817)&lt;1,"✓ OK","⚠ ÉCART")</f>
        <v>✓ OK</v>
      </c>
    </row>
    <row r="104" spans="1:10" ht="15.75" customHeight="1" x14ac:dyDescent="0.25">
      <c r="A104" s="42" t="s">
        <v>721</v>
      </c>
      <c r="B104" s="25" t="s">
        <v>13</v>
      </c>
      <c r="C104" s="43" t="s">
        <v>578</v>
      </c>
      <c r="D104" s="44" t="s">
        <v>579</v>
      </c>
      <c r="E104" s="27" t="s">
        <v>91</v>
      </c>
      <c r="F104" s="28" t="s">
        <v>54</v>
      </c>
      <c r="G104" s="45">
        <v>235</v>
      </c>
      <c r="H104" s="46">
        <v>3827</v>
      </c>
      <c r="I104" s="47">
        <f t="shared" si="3"/>
        <v>899345</v>
      </c>
      <c r="J104" s="48" t="str">
        <f>IF(ABS(G104*H104-899345)&lt;1,"✓ OK","⚠ ÉCART")</f>
        <v>✓ OK</v>
      </c>
    </row>
    <row r="105" spans="1:10" ht="15.75" customHeight="1" x14ac:dyDescent="0.25">
      <c r="A105" s="35" t="s">
        <v>722</v>
      </c>
      <c r="B105" s="17" t="s">
        <v>13</v>
      </c>
      <c r="C105" s="36" t="s">
        <v>578</v>
      </c>
      <c r="D105" s="37" t="s">
        <v>579</v>
      </c>
      <c r="E105" s="19" t="s">
        <v>707</v>
      </c>
      <c r="F105" s="20" t="s">
        <v>16</v>
      </c>
      <c r="G105" s="38">
        <v>1</v>
      </c>
      <c r="H105" s="39">
        <v>3450</v>
      </c>
      <c r="I105" s="40">
        <f t="shared" si="3"/>
        <v>3450</v>
      </c>
      <c r="J105" s="41" t="str">
        <f>IF(ABS(G105*H105-3450)&lt;1,"✓ OK","⚠ ÉCART")</f>
        <v>✓ OK</v>
      </c>
    </row>
    <row r="106" spans="1:10" ht="15.75" customHeight="1" x14ac:dyDescent="0.25">
      <c r="A106" s="42" t="s">
        <v>723</v>
      </c>
      <c r="B106" s="25" t="s">
        <v>13</v>
      </c>
      <c r="C106" s="43" t="s">
        <v>578</v>
      </c>
      <c r="D106" s="44" t="s">
        <v>579</v>
      </c>
      <c r="E106" s="27" t="s">
        <v>672</v>
      </c>
      <c r="F106" s="28" t="s">
        <v>16</v>
      </c>
      <c r="G106" s="45">
        <v>1</v>
      </c>
      <c r="H106" s="46">
        <v>1150000</v>
      </c>
      <c r="I106" s="47">
        <f t="shared" si="3"/>
        <v>1150000</v>
      </c>
      <c r="J106" s="48" t="str">
        <f>IF(ABS(G106*H106-1150000)&lt;1,"✓ OK","⚠ ÉCART")</f>
        <v>✓ OK</v>
      </c>
    </row>
    <row r="107" spans="1:10" ht="15.75" customHeight="1" x14ac:dyDescent="0.25">
      <c r="A107" s="6" t="s">
        <v>724</v>
      </c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5.75" customHeight="1" x14ac:dyDescent="0.25">
      <c r="A108" s="42" t="s">
        <v>725</v>
      </c>
      <c r="B108" s="25" t="s">
        <v>13</v>
      </c>
      <c r="C108" s="43" t="s">
        <v>574</v>
      </c>
      <c r="D108" s="44" t="s">
        <v>582</v>
      </c>
      <c r="E108" s="27" t="s">
        <v>628</v>
      </c>
      <c r="F108" s="28" t="s">
        <v>59</v>
      </c>
      <c r="G108" s="45">
        <v>0.83</v>
      </c>
      <c r="H108" s="46">
        <v>189175</v>
      </c>
      <c r="I108" s="47">
        <f t="shared" ref="I108:I124" si="4">G108*H108</f>
        <v>157015.25</v>
      </c>
      <c r="J108" s="48" t="str">
        <f>IF(ABS(G108*H108-157015)&lt;1,"✓ OK","⚠ ÉCART")</f>
        <v>✓ OK</v>
      </c>
    </row>
    <row r="109" spans="1:10" ht="15.75" customHeight="1" x14ac:dyDescent="0.25">
      <c r="A109" s="35" t="s">
        <v>726</v>
      </c>
      <c r="B109" s="17" t="s">
        <v>13</v>
      </c>
      <c r="C109" s="36" t="s">
        <v>574</v>
      </c>
      <c r="D109" s="37" t="s">
        <v>582</v>
      </c>
      <c r="E109" s="19" t="s">
        <v>630</v>
      </c>
      <c r="F109" s="20" t="s">
        <v>54</v>
      </c>
      <c r="G109" s="38">
        <v>13.2</v>
      </c>
      <c r="H109" s="39">
        <v>5750</v>
      </c>
      <c r="I109" s="40">
        <f t="shared" si="4"/>
        <v>75900</v>
      </c>
      <c r="J109" s="41" t="str">
        <f>IF(ABS(G109*H109-75900)&lt;1,"✓ OK","⚠ ÉCART")</f>
        <v>✓ OK</v>
      </c>
    </row>
    <row r="110" spans="1:10" ht="15.75" customHeight="1" x14ac:dyDescent="0.25">
      <c r="A110" s="42" t="s">
        <v>727</v>
      </c>
      <c r="B110" s="25" t="s">
        <v>13</v>
      </c>
      <c r="C110" s="43" t="s">
        <v>574</v>
      </c>
      <c r="D110" s="44" t="s">
        <v>582</v>
      </c>
      <c r="E110" s="27" t="s">
        <v>632</v>
      </c>
      <c r="F110" s="28" t="s">
        <v>75</v>
      </c>
      <c r="G110" s="45">
        <v>99.6</v>
      </c>
      <c r="H110" s="46">
        <v>1380</v>
      </c>
      <c r="I110" s="47">
        <f t="shared" si="4"/>
        <v>137448</v>
      </c>
      <c r="J110" s="48" t="str">
        <f>IF(ABS(G110*H110-137448)&lt;1,"✓ OK","⚠ ÉCART")</f>
        <v>✓ OK</v>
      </c>
    </row>
    <row r="111" spans="1:10" ht="15.75" customHeight="1" x14ac:dyDescent="0.25">
      <c r="A111" s="35" t="s">
        <v>728</v>
      </c>
      <c r="B111" s="17" t="s">
        <v>13</v>
      </c>
      <c r="C111" s="36" t="s">
        <v>574</v>
      </c>
      <c r="D111" s="37" t="s">
        <v>582</v>
      </c>
      <c r="E111" s="19" t="s">
        <v>634</v>
      </c>
      <c r="F111" s="20" t="s">
        <v>59</v>
      </c>
      <c r="G111" s="38">
        <v>1.33</v>
      </c>
      <c r="H111" s="39">
        <v>189175</v>
      </c>
      <c r="I111" s="40">
        <f t="shared" si="4"/>
        <v>251602.75</v>
      </c>
      <c r="J111" s="41" t="str">
        <f>IF(ABS(G111*H111-251603)&lt;1,"✓ OK","⚠ ÉCART")</f>
        <v>✓ OK</v>
      </c>
    </row>
    <row r="112" spans="1:10" ht="15.75" customHeight="1" x14ac:dyDescent="0.25">
      <c r="A112" s="42" t="s">
        <v>729</v>
      </c>
      <c r="B112" s="25" t="s">
        <v>13</v>
      </c>
      <c r="C112" s="43" t="s">
        <v>574</v>
      </c>
      <c r="D112" s="44" t="s">
        <v>582</v>
      </c>
      <c r="E112" s="27" t="s">
        <v>636</v>
      </c>
      <c r="F112" s="28" t="s">
        <v>54</v>
      </c>
      <c r="G112" s="45">
        <v>16.68</v>
      </c>
      <c r="H112" s="46">
        <v>5750</v>
      </c>
      <c r="I112" s="47">
        <f t="shared" si="4"/>
        <v>95910</v>
      </c>
      <c r="J112" s="48" t="str">
        <f>IF(ABS(G112*H112-95910)&lt;1,"✓ OK","⚠ ÉCART")</f>
        <v>✓ OK</v>
      </c>
    </row>
    <row r="113" spans="1:10" ht="15.75" customHeight="1" x14ac:dyDescent="0.25">
      <c r="A113" s="35" t="s">
        <v>730</v>
      </c>
      <c r="B113" s="17" t="s">
        <v>13</v>
      </c>
      <c r="C113" s="36" t="s">
        <v>574</v>
      </c>
      <c r="D113" s="37" t="s">
        <v>582</v>
      </c>
      <c r="E113" s="19" t="s">
        <v>638</v>
      </c>
      <c r="F113" s="20" t="s">
        <v>75</v>
      </c>
      <c r="G113" s="38">
        <v>172.9</v>
      </c>
      <c r="H113" s="39">
        <v>1380</v>
      </c>
      <c r="I113" s="40">
        <f t="shared" si="4"/>
        <v>238602</v>
      </c>
      <c r="J113" s="41" t="str">
        <f>IF(ABS(G113*H113-238602)&lt;1,"✓ OK","⚠ ÉCART")</f>
        <v>✓ OK</v>
      </c>
    </row>
    <row r="114" spans="1:10" ht="15.75" customHeight="1" x14ac:dyDescent="0.25">
      <c r="A114" s="42" t="s">
        <v>731</v>
      </c>
      <c r="B114" s="25" t="s">
        <v>13</v>
      </c>
      <c r="C114" s="43" t="s">
        <v>574</v>
      </c>
      <c r="D114" s="44" t="s">
        <v>582</v>
      </c>
      <c r="E114" s="27" t="s">
        <v>694</v>
      </c>
      <c r="F114" s="28" t="s">
        <v>59</v>
      </c>
      <c r="G114" s="45">
        <v>4.7699999999999996</v>
      </c>
      <c r="H114" s="46">
        <v>189175</v>
      </c>
      <c r="I114" s="47">
        <f t="shared" si="4"/>
        <v>902364.74999999988</v>
      </c>
      <c r="J114" s="48" t="str">
        <f>IF(ABS(G114*H114-902365)&lt;1,"✓ OK","⚠ ÉCART")</f>
        <v>✓ OK</v>
      </c>
    </row>
    <row r="115" spans="1:10" ht="15.75" customHeight="1" x14ac:dyDescent="0.25">
      <c r="A115" s="35" t="s">
        <v>732</v>
      </c>
      <c r="B115" s="17" t="s">
        <v>13</v>
      </c>
      <c r="C115" s="36" t="s">
        <v>574</v>
      </c>
      <c r="D115" s="37" t="s">
        <v>582</v>
      </c>
      <c r="E115" s="19" t="s">
        <v>696</v>
      </c>
      <c r="F115" s="20" t="s">
        <v>54</v>
      </c>
      <c r="G115" s="38">
        <v>71.52</v>
      </c>
      <c r="H115" s="39">
        <v>5750</v>
      </c>
      <c r="I115" s="40">
        <f t="shared" si="4"/>
        <v>411240</v>
      </c>
      <c r="J115" s="41" t="str">
        <f>IF(ABS(G115*H115-411240)&lt;1,"✓ OK","⚠ ÉCART")</f>
        <v>✓ OK</v>
      </c>
    </row>
    <row r="116" spans="1:10" ht="15.75" customHeight="1" x14ac:dyDescent="0.25">
      <c r="A116" s="42" t="s">
        <v>733</v>
      </c>
      <c r="B116" s="25" t="s">
        <v>13</v>
      </c>
      <c r="C116" s="43" t="s">
        <v>574</v>
      </c>
      <c r="D116" s="44" t="s">
        <v>582</v>
      </c>
      <c r="E116" s="27" t="s">
        <v>698</v>
      </c>
      <c r="F116" s="28" t="s">
        <v>75</v>
      </c>
      <c r="G116" s="45">
        <v>333.9</v>
      </c>
      <c r="H116" s="46">
        <v>1380</v>
      </c>
      <c r="I116" s="47">
        <f t="shared" si="4"/>
        <v>460781.99999999994</v>
      </c>
      <c r="J116" s="48" t="str">
        <f>IF(ABS(G116*H116-460782)&lt;1,"✓ OK","⚠ ÉCART")</f>
        <v>✓ OK</v>
      </c>
    </row>
    <row r="117" spans="1:10" ht="15.75" customHeight="1" x14ac:dyDescent="0.25">
      <c r="A117" s="35" t="s">
        <v>734</v>
      </c>
      <c r="B117" s="17" t="s">
        <v>13</v>
      </c>
      <c r="C117" s="36" t="s">
        <v>574</v>
      </c>
      <c r="D117" s="37" t="s">
        <v>582</v>
      </c>
      <c r="E117" s="19" t="s">
        <v>658</v>
      </c>
      <c r="F117" s="20" t="s">
        <v>59</v>
      </c>
      <c r="G117" s="38">
        <v>2.88</v>
      </c>
      <c r="H117" s="39">
        <v>189175</v>
      </c>
      <c r="I117" s="40">
        <f t="shared" si="4"/>
        <v>544824</v>
      </c>
      <c r="J117" s="41" t="str">
        <f>IF(ABS(G117*H117-544824)&lt;1,"✓ OK","⚠ ÉCART")</f>
        <v>✓ OK</v>
      </c>
    </row>
    <row r="118" spans="1:10" ht="15.75" customHeight="1" x14ac:dyDescent="0.25">
      <c r="A118" s="42" t="s">
        <v>735</v>
      </c>
      <c r="B118" s="25" t="s">
        <v>13</v>
      </c>
      <c r="C118" s="43" t="s">
        <v>574</v>
      </c>
      <c r="D118" s="44" t="s">
        <v>582</v>
      </c>
      <c r="E118" s="27" t="s">
        <v>660</v>
      </c>
      <c r="F118" s="28" t="s">
        <v>54</v>
      </c>
      <c r="G118" s="45">
        <v>24</v>
      </c>
      <c r="H118" s="46">
        <v>14231</v>
      </c>
      <c r="I118" s="47">
        <f t="shared" si="4"/>
        <v>341544</v>
      </c>
      <c r="J118" s="48" t="str">
        <f>IF(ABS(G118*H118-341544)&lt;1,"✓ OK","⚠ ÉCART")</f>
        <v>✓ OK</v>
      </c>
    </row>
    <row r="119" spans="1:10" ht="15.75" customHeight="1" x14ac:dyDescent="0.25">
      <c r="A119" s="35" t="s">
        <v>736</v>
      </c>
      <c r="B119" s="17" t="s">
        <v>13</v>
      </c>
      <c r="C119" s="36" t="s">
        <v>574</v>
      </c>
      <c r="D119" s="37" t="s">
        <v>582</v>
      </c>
      <c r="E119" s="19" t="s">
        <v>662</v>
      </c>
      <c r="F119" s="20" t="s">
        <v>54</v>
      </c>
      <c r="G119" s="38">
        <v>24</v>
      </c>
      <c r="H119" s="39">
        <v>5750</v>
      </c>
      <c r="I119" s="40">
        <f t="shared" si="4"/>
        <v>138000</v>
      </c>
      <c r="J119" s="41" t="str">
        <f>IF(ABS(G119*H119-138000)&lt;1,"✓ OK","⚠ ÉCART")</f>
        <v>✓ OK</v>
      </c>
    </row>
    <row r="120" spans="1:10" ht="15.75" customHeight="1" x14ac:dyDescent="0.25">
      <c r="A120" s="42" t="s">
        <v>737</v>
      </c>
      <c r="B120" s="25" t="s">
        <v>13</v>
      </c>
      <c r="C120" s="43" t="s">
        <v>574</v>
      </c>
      <c r="D120" s="44" t="s">
        <v>582</v>
      </c>
      <c r="E120" s="27" t="s">
        <v>664</v>
      </c>
      <c r="F120" s="28" t="s">
        <v>75</v>
      </c>
      <c r="G120" s="45">
        <v>259</v>
      </c>
      <c r="H120" s="46">
        <v>1380</v>
      </c>
      <c r="I120" s="47">
        <f t="shared" si="4"/>
        <v>357420</v>
      </c>
      <c r="J120" s="48" t="str">
        <f>IF(ABS(G120*H120-357420)&lt;1,"✓ OK","⚠ ÉCART")</f>
        <v>✓ OK</v>
      </c>
    </row>
    <row r="121" spans="1:10" ht="15.75" customHeight="1" x14ac:dyDescent="0.25">
      <c r="A121" s="35" t="s">
        <v>738</v>
      </c>
      <c r="B121" s="17" t="s">
        <v>13</v>
      </c>
      <c r="C121" s="36" t="s">
        <v>574</v>
      </c>
      <c r="D121" s="37" t="s">
        <v>582</v>
      </c>
      <c r="E121" s="19" t="s">
        <v>666</v>
      </c>
      <c r="F121" s="20" t="s">
        <v>54</v>
      </c>
      <c r="G121" s="38">
        <v>339.74</v>
      </c>
      <c r="H121" s="39">
        <v>11185</v>
      </c>
      <c r="I121" s="40">
        <f t="shared" si="4"/>
        <v>3799991.9</v>
      </c>
      <c r="J121" s="41" t="str">
        <f>IF(ABS(G121*H121-3799992)&lt;1,"✓ OK","⚠ ÉCART")</f>
        <v>✓ OK</v>
      </c>
    </row>
    <row r="122" spans="1:10" ht="15.75" customHeight="1" x14ac:dyDescent="0.25">
      <c r="A122" s="42" t="s">
        <v>739</v>
      </c>
      <c r="B122" s="25" t="s">
        <v>13</v>
      </c>
      <c r="C122" s="43" t="s">
        <v>574</v>
      </c>
      <c r="D122" s="44" t="s">
        <v>582</v>
      </c>
      <c r="E122" s="27" t="s">
        <v>682</v>
      </c>
      <c r="F122" s="28" t="s">
        <v>54</v>
      </c>
      <c r="G122" s="45">
        <v>679.47</v>
      </c>
      <c r="H122" s="46">
        <v>3827</v>
      </c>
      <c r="I122" s="47">
        <f t="shared" si="4"/>
        <v>2600331.69</v>
      </c>
      <c r="J122" s="48" t="str">
        <f>IF(ABS(G122*H122-2600332)&lt;1,"✓ OK","⚠ ÉCART")</f>
        <v>✓ OK</v>
      </c>
    </row>
    <row r="123" spans="1:10" ht="15.75" customHeight="1" x14ac:dyDescent="0.25">
      <c r="A123" s="35" t="s">
        <v>740</v>
      </c>
      <c r="B123" s="17" t="s">
        <v>13</v>
      </c>
      <c r="C123" s="36" t="s">
        <v>574</v>
      </c>
      <c r="D123" s="37" t="s">
        <v>582</v>
      </c>
      <c r="E123" s="19" t="s">
        <v>91</v>
      </c>
      <c r="F123" s="20" t="s">
        <v>54</v>
      </c>
      <c r="G123" s="38">
        <v>581</v>
      </c>
      <c r="H123" s="39">
        <v>3827</v>
      </c>
      <c r="I123" s="40">
        <f t="shared" si="4"/>
        <v>2223487</v>
      </c>
      <c r="J123" s="41" t="str">
        <f>IF(ABS(G123*H123-2223487)&lt;1,"✓ OK","⚠ ÉCART")</f>
        <v>✓ OK</v>
      </c>
    </row>
    <row r="124" spans="1:10" ht="15.75" customHeight="1" x14ac:dyDescent="0.25">
      <c r="A124" s="42" t="s">
        <v>741</v>
      </c>
      <c r="B124" s="25" t="s">
        <v>13</v>
      </c>
      <c r="C124" s="43" t="s">
        <v>574</v>
      </c>
      <c r="D124" s="44" t="s">
        <v>582</v>
      </c>
      <c r="E124" s="27" t="s">
        <v>685</v>
      </c>
      <c r="F124" s="28" t="s">
        <v>16</v>
      </c>
      <c r="G124" s="45">
        <v>1</v>
      </c>
      <c r="H124" s="46">
        <v>2344172</v>
      </c>
      <c r="I124" s="47">
        <f t="shared" si="4"/>
        <v>2344172</v>
      </c>
      <c r="J124" s="48" t="str">
        <f>IF(ABS(G124*H124-2344172)&lt;1,"✓ OK","⚠ ÉCART")</f>
        <v>✓ OK</v>
      </c>
    </row>
    <row r="125" spans="1:10" ht="15.75" customHeight="1" x14ac:dyDescent="0.25">
      <c r="A125" s="6" t="s">
        <v>742</v>
      </c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5.75" customHeight="1" x14ac:dyDescent="0.25">
      <c r="A126" s="42" t="s">
        <v>743</v>
      </c>
      <c r="B126" s="25" t="s">
        <v>13</v>
      </c>
      <c r="C126" s="43" t="s">
        <v>574</v>
      </c>
      <c r="D126" s="44" t="s">
        <v>744</v>
      </c>
      <c r="E126" s="27" t="s">
        <v>628</v>
      </c>
      <c r="F126" s="28" t="s">
        <v>59</v>
      </c>
      <c r="G126" s="45">
        <v>3.96</v>
      </c>
      <c r="H126" s="46">
        <v>189175</v>
      </c>
      <c r="I126" s="47">
        <f t="shared" ref="I126:I148" si="5">G126*H126</f>
        <v>749133</v>
      </c>
      <c r="J126" s="48" t="str">
        <f>IF(ABS(G126*H126-749133)&lt;1,"✓ OK","⚠ ÉCART")</f>
        <v>✓ OK</v>
      </c>
    </row>
    <row r="127" spans="1:10" ht="15.75" customHeight="1" x14ac:dyDescent="0.25">
      <c r="A127" s="35" t="s">
        <v>745</v>
      </c>
      <c r="B127" s="17" t="s">
        <v>13</v>
      </c>
      <c r="C127" s="36" t="s">
        <v>574</v>
      </c>
      <c r="D127" s="37" t="s">
        <v>744</v>
      </c>
      <c r="E127" s="19" t="s">
        <v>630</v>
      </c>
      <c r="F127" s="20" t="s">
        <v>54</v>
      </c>
      <c r="G127" s="38">
        <v>66</v>
      </c>
      <c r="H127" s="39">
        <v>5750</v>
      </c>
      <c r="I127" s="40">
        <f t="shared" si="5"/>
        <v>379500</v>
      </c>
      <c r="J127" s="41" t="str">
        <f>IF(ABS(G127*H127-379500)&lt;1,"✓ OK","⚠ ÉCART")</f>
        <v>✓ OK</v>
      </c>
    </row>
    <row r="128" spans="1:10" ht="15.75" customHeight="1" x14ac:dyDescent="0.25">
      <c r="A128" s="42" t="s">
        <v>746</v>
      </c>
      <c r="B128" s="25" t="s">
        <v>13</v>
      </c>
      <c r="C128" s="43" t="s">
        <v>574</v>
      </c>
      <c r="D128" s="44" t="s">
        <v>744</v>
      </c>
      <c r="E128" s="27" t="s">
        <v>632</v>
      </c>
      <c r="F128" s="28" t="s">
        <v>75</v>
      </c>
      <c r="G128" s="45">
        <v>475.2</v>
      </c>
      <c r="H128" s="46">
        <v>1380</v>
      </c>
      <c r="I128" s="47">
        <f t="shared" si="5"/>
        <v>655776</v>
      </c>
      <c r="J128" s="48" t="str">
        <f>IF(ABS(G128*H128-655776)&lt;1,"✓ OK","⚠ ÉCART")</f>
        <v>✓ OK</v>
      </c>
    </row>
    <row r="129" spans="1:10" ht="15.75" customHeight="1" x14ac:dyDescent="0.25">
      <c r="A129" s="35" t="s">
        <v>747</v>
      </c>
      <c r="B129" s="17" t="s">
        <v>13</v>
      </c>
      <c r="C129" s="36" t="s">
        <v>574</v>
      </c>
      <c r="D129" s="37" t="s">
        <v>744</v>
      </c>
      <c r="E129" s="19" t="s">
        <v>634</v>
      </c>
      <c r="F129" s="20" t="s">
        <v>59</v>
      </c>
      <c r="G129" s="38">
        <v>14.49</v>
      </c>
      <c r="H129" s="39">
        <v>189175</v>
      </c>
      <c r="I129" s="40">
        <f t="shared" si="5"/>
        <v>2741145.75</v>
      </c>
      <c r="J129" s="41" t="str">
        <f>IF(ABS(G129*H129-2741146)&lt;1,"✓ OK","⚠ ÉCART")</f>
        <v>✓ OK</v>
      </c>
    </row>
    <row r="130" spans="1:10" ht="15.75" customHeight="1" x14ac:dyDescent="0.25">
      <c r="A130" s="42" t="s">
        <v>748</v>
      </c>
      <c r="B130" s="25" t="s">
        <v>13</v>
      </c>
      <c r="C130" s="43" t="s">
        <v>574</v>
      </c>
      <c r="D130" s="44" t="s">
        <v>744</v>
      </c>
      <c r="E130" s="27" t="s">
        <v>636</v>
      </c>
      <c r="F130" s="28" t="s">
        <v>54</v>
      </c>
      <c r="G130" s="45">
        <v>181.1</v>
      </c>
      <c r="H130" s="46">
        <v>5750</v>
      </c>
      <c r="I130" s="47">
        <f t="shared" si="5"/>
        <v>1041325</v>
      </c>
      <c r="J130" s="48" t="str">
        <f>IF(ABS(G130*H130-1041325)&lt;1,"✓ OK","⚠ ÉCART")</f>
        <v>✓ OK</v>
      </c>
    </row>
    <row r="131" spans="1:10" ht="15.75" customHeight="1" x14ac:dyDescent="0.25">
      <c r="A131" s="35" t="s">
        <v>749</v>
      </c>
      <c r="B131" s="17" t="s">
        <v>13</v>
      </c>
      <c r="C131" s="36" t="s">
        <v>574</v>
      </c>
      <c r="D131" s="37" t="s">
        <v>744</v>
      </c>
      <c r="E131" s="19" t="s">
        <v>638</v>
      </c>
      <c r="F131" s="20" t="s">
        <v>75</v>
      </c>
      <c r="G131" s="38">
        <v>1883.7</v>
      </c>
      <c r="H131" s="39">
        <v>1380</v>
      </c>
      <c r="I131" s="40">
        <f t="shared" si="5"/>
        <v>2599506</v>
      </c>
      <c r="J131" s="41" t="str">
        <f>IF(ABS(G131*H131-2599506)&lt;1,"✓ OK","⚠ ÉCART")</f>
        <v>✓ OK</v>
      </c>
    </row>
    <row r="132" spans="1:10" ht="15.75" customHeight="1" x14ac:dyDescent="0.25">
      <c r="A132" s="42" t="s">
        <v>750</v>
      </c>
      <c r="B132" s="25" t="s">
        <v>13</v>
      </c>
      <c r="C132" s="43" t="s">
        <v>574</v>
      </c>
      <c r="D132" s="44" t="s">
        <v>744</v>
      </c>
      <c r="E132" s="27" t="s">
        <v>751</v>
      </c>
      <c r="F132" s="28" t="s">
        <v>59</v>
      </c>
      <c r="G132" s="45">
        <v>21.9</v>
      </c>
      <c r="H132" s="46">
        <v>189175</v>
      </c>
      <c r="I132" s="47">
        <f t="shared" si="5"/>
        <v>4142932.4999999995</v>
      </c>
      <c r="J132" s="48" t="str">
        <f>IF(ABS(G132*H132-4142933)&lt;1,"✓ OK","⚠ ÉCART")</f>
        <v>✓ OK</v>
      </c>
    </row>
    <row r="133" spans="1:10" ht="15.75" customHeight="1" x14ac:dyDescent="0.25">
      <c r="A133" s="35" t="s">
        <v>752</v>
      </c>
      <c r="B133" s="17" t="s">
        <v>13</v>
      </c>
      <c r="C133" s="36" t="s">
        <v>574</v>
      </c>
      <c r="D133" s="37" t="s">
        <v>744</v>
      </c>
      <c r="E133" s="19" t="s">
        <v>753</v>
      </c>
      <c r="F133" s="20" t="s">
        <v>54</v>
      </c>
      <c r="G133" s="38">
        <v>101.18</v>
      </c>
      <c r="H133" s="39">
        <v>5750</v>
      </c>
      <c r="I133" s="40">
        <f t="shared" si="5"/>
        <v>581785</v>
      </c>
      <c r="J133" s="41" t="str">
        <f>IF(ABS(G133*H133-581785)&lt;1,"✓ OK","⚠ ÉCART")</f>
        <v>✓ OK</v>
      </c>
    </row>
    <row r="134" spans="1:10" ht="15.75" customHeight="1" x14ac:dyDescent="0.25">
      <c r="A134" s="42" t="s">
        <v>754</v>
      </c>
      <c r="B134" s="25" t="s">
        <v>13</v>
      </c>
      <c r="C134" s="43" t="s">
        <v>574</v>
      </c>
      <c r="D134" s="44" t="s">
        <v>744</v>
      </c>
      <c r="E134" s="27" t="s">
        <v>755</v>
      </c>
      <c r="F134" s="28" t="s">
        <v>75</v>
      </c>
      <c r="G134" s="45">
        <v>2628</v>
      </c>
      <c r="H134" s="46">
        <v>1380</v>
      </c>
      <c r="I134" s="47">
        <f t="shared" si="5"/>
        <v>3626640</v>
      </c>
      <c r="J134" s="48" t="str">
        <f>IF(ABS(G134*H134-3626640)&lt;1,"✓ OK","⚠ ÉCART")</f>
        <v>✓ OK</v>
      </c>
    </row>
    <row r="135" spans="1:10" ht="15.75" customHeight="1" x14ac:dyDescent="0.25">
      <c r="A135" s="35" t="s">
        <v>756</v>
      </c>
      <c r="B135" s="17" t="s">
        <v>13</v>
      </c>
      <c r="C135" s="36" t="s">
        <v>574</v>
      </c>
      <c r="D135" s="37" t="s">
        <v>744</v>
      </c>
      <c r="E135" s="19" t="s">
        <v>694</v>
      </c>
      <c r="F135" s="20" t="s">
        <v>59</v>
      </c>
      <c r="G135" s="38">
        <v>2.64</v>
      </c>
      <c r="H135" s="39">
        <v>189175</v>
      </c>
      <c r="I135" s="40">
        <f t="shared" si="5"/>
        <v>499422</v>
      </c>
      <c r="J135" s="41" t="str">
        <f>IF(ABS(G135*H135-499422)&lt;1,"✓ OK","⚠ ÉCART")</f>
        <v>✓ OK</v>
      </c>
    </row>
    <row r="136" spans="1:10" ht="15.75" customHeight="1" x14ac:dyDescent="0.25">
      <c r="A136" s="42" t="s">
        <v>757</v>
      </c>
      <c r="B136" s="25" t="s">
        <v>13</v>
      </c>
      <c r="C136" s="43" t="s">
        <v>574</v>
      </c>
      <c r="D136" s="44" t="s">
        <v>744</v>
      </c>
      <c r="E136" s="27" t="s">
        <v>696</v>
      </c>
      <c r="F136" s="28" t="s">
        <v>54</v>
      </c>
      <c r="G136" s="45">
        <v>39.58</v>
      </c>
      <c r="H136" s="46">
        <v>5750</v>
      </c>
      <c r="I136" s="47">
        <f t="shared" si="5"/>
        <v>227585</v>
      </c>
      <c r="J136" s="48" t="str">
        <f>IF(ABS(G136*H136-227585)&lt;1,"✓ OK","⚠ ÉCART")</f>
        <v>✓ OK</v>
      </c>
    </row>
    <row r="137" spans="1:10" ht="15.75" customHeight="1" x14ac:dyDescent="0.25">
      <c r="A137" s="35" t="s">
        <v>758</v>
      </c>
      <c r="B137" s="17" t="s">
        <v>13</v>
      </c>
      <c r="C137" s="36" t="s">
        <v>574</v>
      </c>
      <c r="D137" s="37" t="s">
        <v>744</v>
      </c>
      <c r="E137" s="19" t="s">
        <v>698</v>
      </c>
      <c r="F137" s="20" t="s">
        <v>75</v>
      </c>
      <c r="G137" s="38">
        <v>184.8</v>
      </c>
      <c r="H137" s="39">
        <v>1380</v>
      </c>
      <c r="I137" s="40">
        <f t="shared" si="5"/>
        <v>255024.00000000003</v>
      </c>
      <c r="J137" s="41" t="str">
        <f>IF(ABS(G137*H137-255024)&lt;1,"✓ OK","⚠ ÉCART")</f>
        <v>✓ OK</v>
      </c>
    </row>
    <row r="138" spans="1:10" ht="15.75" customHeight="1" x14ac:dyDescent="0.25">
      <c r="A138" s="42" t="s">
        <v>759</v>
      </c>
      <c r="B138" s="25" t="s">
        <v>13</v>
      </c>
      <c r="C138" s="43" t="s">
        <v>574</v>
      </c>
      <c r="D138" s="44" t="s">
        <v>744</v>
      </c>
      <c r="E138" s="27" t="s">
        <v>652</v>
      </c>
      <c r="F138" s="28" t="s">
        <v>59</v>
      </c>
      <c r="G138" s="45">
        <v>5.76</v>
      </c>
      <c r="H138" s="46">
        <v>189175</v>
      </c>
      <c r="I138" s="47">
        <f t="shared" si="5"/>
        <v>1089648</v>
      </c>
      <c r="J138" s="48" t="str">
        <f>IF(ABS(G138*H138-1089648)&lt;1,"✓ OK","⚠ ÉCART")</f>
        <v>✓ OK</v>
      </c>
    </row>
    <row r="139" spans="1:10" ht="15.75" customHeight="1" x14ac:dyDescent="0.25">
      <c r="A139" s="35" t="s">
        <v>760</v>
      </c>
      <c r="B139" s="17" t="s">
        <v>13</v>
      </c>
      <c r="C139" s="36" t="s">
        <v>574</v>
      </c>
      <c r="D139" s="37" t="s">
        <v>744</v>
      </c>
      <c r="E139" s="19" t="s">
        <v>654</v>
      </c>
      <c r="F139" s="20" t="s">
        <v>54</v>
      </c>
      <c r="G139" s="38">
        <v>16.22</v>
      </c>
      <c r="H139" s="39">
        <v>5750</v>
      </c>
      <c r="I139" s="40">
        <f t="shared" si="5"/>
        <v>93265</v>
      </c>
      <c r="J139" s="41" t="str">
        <f>IF(ABS(G139*H139-93265)&lt;1,"✓ OK","⚠ ÉCART")</f>
        <v>✓ OK</v>
      </c>
    </row>
    <row r="140" spans="1:10" ht="15.75" customHeight="1" x14ac:dyDescent="0.25">
      <c r="A140" s="42" t="s">
        <v>761</v>
      </c>
      <c r="B140" s="25" t="s">
        <v>13</v>
      </c>
      <c r="C140" s="43" t="s">
        <v>574</v>
      </c>
      <c r="D140" s="44" t="s">
        <v>744</v>
      </c>
      <c r="E140" s="27" t="s">
        <v>656</v>
      </c>
      <c r="F140" s="28" t="s">
        <v>75</v>
      </c>
      <c r="G140" s="45">
        <v>184.8</v>
      </c>
      <c r="H140" s="46">
        <v>1380</v>
      </c>
      <c r="I140" s="47">
        <f t="shared" si="5"/>
        <v>255024.00000000003</v>
      </c>
      <c r="J140" s="48" t="str">
        <f>IF(ABS(G140*H140-255024)&lt;1,"✓ OK","⚠ ÉCART")</f>
        <v>✓ OK</v>
      </c>
    </row>
    <row r="141" spans="1:10" ht="15.75" customHeight="1" x14ac:dyDescent="0.25">
      <c r="A141" s="35" t="s">
        <v>762</v>
      </c>
      <c r="B141" s="17" t="s">
        <v>13</v>
      </c>
      <c r="C141" s="36" t="s">
        <v>574</v>
      </c>
      <c r="D141" s="37" t="s">
        <v>744</v>
      </c>
      <c r="E141" s="19" t="s">
        <v>658</v>
      </c>
      <c r="F141" s="20" t="s">
        <v>59</v>
      </c>
      <c r="G141" s="38">
        <v>28.56</v>
      </c>
      <c r="H141" s="39">
        <v>189175</v>
      </c>
      <c r="I141" s="40">
        <f t="shared" si="5"/>
        <v>5402838</v>
      </c>
      <c r="J141" s="41" t="str">
        <f>IF(ABS(G141*H141-5402838)&lt;1,"✓ OK","⚠ ÉCART")</f>
        <v>✓ OK</v>
      </c>
    </row>
    <row r="142" spans="1:10" ht="15.75" customHeight="1" x14ac:dyDescent="0.25">
      <c r="A142" s="42" t="s">
        <v>763</v>
      </c>
      <c r="B142" s="25" t="s">
        <v>13</v>
      </c>
      <c r="C142" s="43" t="s">
        <v>574</v>
      </c>
      <c r="D142" s="44" t="s">
        <v>744</v>
      </c>
      <c r="E142" s="27" t="s">
        <v>660</v>
      </c>
      <c r="F142" s="28" t="s">
        <v>54</v>
      </c>
      <c r="G142" s="45">
        <v>238</v>
      </c>
      <c r="H142" s="46">
        <v>14231</v>
      </c>
      <c r="I142" s="47">
        <f t="shared" si="5"/>
        <v>3386978</v>
      </c>
      <c r="J142" s="48" t="str">
        <f>IF(ABS(G142*H142-3386978)&lt;1,"✓ OK","⚠ ÉCART")</f>
        <v>✓ OK</v>
      </c>
    </row>
    <row r="143" spans="1:10" ht="15.75" customHeight="1" x14ac:dyDescent="0.25">
      <c r="A143" s="35" t="s">
        <v>764</v>
      </c>
      <c r="B143" s="17" t="s">
        <v>13</v>
      </c>
      <c r="C143" s="36" t="s">
        <v>574</v>
      </c>
      <c r="D143" s="37" t="s">
        <v>744</v>
      </c>
      <c r="E143" s="19" t="s">
        <v>662</v>
      </c>
      <c r="F143" s="20" t="s">
        <v>54</v>
      </c>
      <c r="G143" s="38">
        <v>238</v>
      </c>
      <c r="H143" s="39">
        <v>5750</v>
      </c>
      <c r="I143" s="40">
        <f t="shared" si="5"/>
        <v>1368500</v>
      </c>
      <c r="J143" s="41" t="str">
        <f>IF(ABS(G143*H143-1368500)&lt;1,"✓ OK","⚠ ÉCART")</f>
        <v>✓ OK</v>
      </c>
    </row>
    <row r="144" spans="1:10" ht="15.75" customHeight="1" x14ac:dyDescent="0.25">
      <c r="A144" s="42" t="s">
        <v>765</v>
      </c>
      <c r="B144" s="25" t="s">
        <v>13</v>
      </c>
      <c r="C144" s="43" t="s">
        <v>574</v>
      </c>
      <c r="D144" s="44" t="s">
        <v>744</v>
      </c>
      <c r="E144" s="27" t="s">
        <v>664</v>
      </c>
      <c r="F144" s="28" t="s">
        <v>75</v>
      </c>
      <c r="G144" s="45">
        <v>2570</v>
      </c>
      <c r="H144" s="46">
        <v>1380</v>
      </c>
      <c r="I144" s="47">
        <f t="shared" si="5"/>
        <v>3546600</v>
      </c>
      <c r="J144" s="48" t="str">
        <f>IF(ABS(G144*H144-3546600)&lt;1,"✓ OK","⚠ ÉCART")</f>
        <v>✓ OK</v>
      </c>
    </row>
    <row r="145" spans="1:10" ht="15.75" customHeight="1" x14ac:dyDescent="0.25">
      <c r="A145" s="35" t="s">
        <v>766</v>
      </c>
      <c r="B145" s="17" t="s">
        <v>13</v>
      </c>
      <c r="C145" s="36" t="s">
        <v>574</v>
      </c>
      <c r="D145" s="37" t="s">
        <v>744</v>
      </c>
      <c r="E145" s="19" t="s">
        <v>666</v>
      </c>
      <c r="F145" s="20" t="s">
        <v>54</v>
      </c>
      <c r="G145" s="38">
        <v>599.38</v>
      </c>
      <c r="H145" s="39">
        <v>11185</v>
      </c>
      <c r="I145" s="40">
        <f t="shared" si="5"/>
        <v>6704065.2999999998</v>
      </c>
      <c r="J145" s="41" t="str">
        <f>IF(ABS(G145*H145-6704065)&lt;1,"✓ OK","⚠ ÉCART")</f>
        <v>✓ OK</v>
      </c>
    </row>
    <row r="146" spans="1:10" ht="15.75" customHeight="1" x14ac:dyDescent="0.25">
      <c r="A146" s="42" t="s">
        <v>767</v>
      </c>
      <c r="B146" s="25" t="s">
        <v>13</v>
      </c>
      <c r="C146" s="43" t="s">
        <v>574</v>
      </c>
      <c r="D146" s="44" t="s">
        <v>744</v>
      </c>
      <c r="E146" s="27" t="s">
        <v>682</v>
      </c>
      <c r="F146" s="28" t="s">
        <v>54</v>
      </c>
      <c r="G146" s="45">
        <v>1198.76</v>
      </c>
      <c r="H146" s="46">
        <v>3827</v>
      </c>
      <c r="I146" s="47">
        <f t="shared" si="5"/>
        <v>4587654.5199999996</v>
      </c>
      <c r="J146" s="48" t="str">
        <f>IF(ABS(G146*H146-4587655)&lt;1,"✓ OK","⚠ ÉCART")</f>
        <v>✓ OK</v>
      </c>
    </row>
    <row r="147" spans="1:10" ht="15.75" customHeight="1" x14ac:dyDescent="0.25">
      <c r="A147" s="35" t="s">
        <v>768</v>
      </c>
      <c r="B147" s="17" t="s">
        <v>13</v>
      </c>
      <c r="C147" s="36" t="s">
        <v>574</v>
      </c>
      <c r="D147" s="37" t="s">
        <v>744</v>
      </c>
      <c r="E147" s="19" t="s">
        <v>91</v>
      </c>
      <c r="F147" s="20" t="s">
        <v>54</v>
      </c>
      <c r="G147" s="38">
        <v>238</v>
      </c>
      <c r="H147" s="39">
        <v>3827</v>
      </c>
      <c r="I147" s="40">
        <f t="shared" si="5"/>
        <v>910826</v>
      </c>
      <c r="J147" s="41" t="str">
        <f>IF(ABS(G147*H147-910826)&lt;1,"✓ OK","⚠ ÉCART")</f>
        <v>✓ OK</v>
      </c>
    </row>
    <row r="148" spans="1:10" ht="15.75" customHeight="1" x14ac:dyDescent="0.25">
      <c r="A148" s="42" t="s">
        <v>769</v>
      </c>
      <c r="B148" s="25" t="s">
        <v>13</v>
      </c>
      <c r="C148" s="43" t="s">
        <v>574</v>
      </c>
      <c r="D148" s="44" t="s">
        <v>744</v>
      </c>
      <c r="E148" s="27" t="s">
        <v>685</v>
      </c>
      <c r="F148" s="28" t="s">
        <v>16</v>
      </c>
      <c r="G148" s="45">
        <v>1</v>
      </c>
      <c r="H148" s="46">
        <v>4135722</v>
      </c>
      <c r="I148" s="47">
        <f t="shared" si="5"/>
        <v>4135722</v>
      </c>
      <c r="J148" s="48" t="str">
        <f>IF(ABS(G148*H148-4135722)&lt;1,"✓ OK","⚠ ÉCART")</f>
        <v>✓ OK</v>
      </c>
    </row>
    <row r="149" spans="1:10" ht="15.75" customHeight="1" x14ac:dyDescent="0.25">
      <c r="A149" s="6" t="s">
        <v>770</v>
      </c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5.75" customHeight="1" x14ac:dyDescent="0.25">
      <c r="A150" s="42" t="s">
        <v>771</v>
      </c>
      <c r="B150" s="25" t="s">
        <v>13</v>
      </c>
      <c r="C150" s="43" t="s">
        <v>574</v>
      </c>
      <c r="D150" s="44" t="s">
        <v>772</v>
      </c>
      <c r="E150" s="27" t="s">
        <v>628</v>
      </c>
      <c r="F150" s="28" t="s">
        <v>59</v>
      </c>
      <c r="G150" s="45">
        <v>3.56</v>
      </c>
      <c r="H150" s="46">
        <v>189175</v>
      </c>
      <c r="I150" s="47">
        <f t="shared" ref="I150:I165" si="6">G150*H150</f>
        <v>673463</v>
      </c>
      <c r="J150" s="48" t="str">
        <f>IF(ABS(G150*H150-673463)&lt;1,"✓ OK","⚠ ÉCART")</f>
        <v>✓ OK</v>
      </c>
    </row>
    <row r="151" spans="1:10" ht="15.75" customHeight="1" x14ac:dyDescent="0.25">
      <c r="A151" s="35" t="s">
        <v>773</v>
      </c>
      <c r="B151" s="17" t="s">
        <v>13</v>
      </c>
      <c r="C151" s="36" t="s">
        <v>574</v>
      </c>
      <c r="D151" s="37" t="s">
        <v>772</v>
      </c>
      <c r="E151" s="19" t="s">
        <v>630</v>
      </c>
      <c r="F151" s="20" t="s">
        <v>54</v>
      </c>
      <c r="G151" s="38">
        <v>58.08</v>
      </c>
      <c r="H151" s="39">
        <v>5750</v>
      </c>
      <c r="I151" s="40">
        <f t="shared" si="6"/>
        <v>333960</v>
      </c>
      <c r="J151" s="41" t="str">
        <f>IF(ABS(G151*H151-333960)&lt;1,"✓ OK","⚠ ÉCART")</f>
        <v>✓ OK</v>
      </c>
    </row>
    <row r="152" spans="1:10" ht="15.75" customHeight="1" x14ac:dyDescent="0.25">
      <c r="A152" s="42" t="s">
        <v>774</v>
      </c>
      <c r="B152" s="25" t="s">
        <v>13</v>
      </c>
      <c r="C152" s="43" t="s">
        <v>574</v>
      </c>
      <c r="D152" s="44" t="s">
        <v>772</v>
      </c>
      <c r="E152" s="27" t="s">
        <v>632</v>
      </c>
      <c r="F152" s="28" t="s">
        <v>75</v>
      </c>
      <c r="G152" s="45">
        <v>427.2</v>
      </c>
      <c r="H152" s="46">
        <v>1380</v>
      </c>
      <c r="I152" s="47">
        <f t="shared" si="6"/>
        <v>589536</v>
      </c>
      <c r="J152" s="48" t="str">
        <f>IF(ABS(G152*H152-589536)&lt;1,"✓ OK","⚠ ÉCART")</f>
        <v>✓ OK</v>
      </c>
    </row>
    <row r="153" spans="1:10" ht="15.75" customHeight="1" x14ac:dyDescent="0.25">
      <c r="A153" s="35" t="s">
        <v>775</v>
      </c>
      <c r="B153" s="17" t="s">
        <v>13</v>
      </c>
      <c r="C153" s="36" t="s">
        <v>574</v>
      </c>
      <c r="D153" s="37" t="s">
        <v>772</v>
      </c>
      <c r="E153" s="19" t="s">
        <v>634</v>
      </c>
      <c r="F153" s="20" t="s">
        <v>59</v>
      </c>
      <c r="G153" s="38">
        <v>10.76</v>
      </c>
      <c r="H153" s="39">
        <v>189175</v>
      </c>
      <c r="I153" s="40">
        <f t="shared" si="6"/>
        <v>2035523</v>
      </c>
      <c r="J153" s="41" t="str">
        <f>IF(ABS(G153*H153-2035523)&lt;1,"✓ OK","⚠ ÉCART")</f>
        <v>✓ OK</v>
      </c>
    </row>
    <row r="154" spans="1:10" ht="15.75" customHeight="1" x14ac:dyDescent="0.25">
      <c r="A154" s="42" t="s">
        <v>776</v>
      </c>
      <c r="B154" s="25" t="s">
        <v>13</v>
      </c>
      <c r="C154" s="43" t="s">
        <v>574</v>
      </c>
      <c r="D154" s="44" t="s">
        <v>772</v>
      </c>
      <c r="E154" s="27" t="s">
        <v>636</v>
      </c>
      <c r="F154" s="28" t="s">
        <v>54</v>
      </c>
      <c r="G154" s="45">
        <v>134.5</v>
      </c>
      <c r="H154" s="46">
        <v>5750</v>
      </c>
      <c r="I154" s="47">
        <f t="shared" si="6"/>
        <v>773375</v>
      </c>
      <c r="J154" s="48" t="str">
        <f>IF(ABS(G154*H154-773375)&lt;1,"✓ OK","⚠ ÉCART")</f>
        <v>✓ OK</v>
      </c>
    </row>
    <row r="155" spans="1:10" ht="15.75" customHeight="1" x14ac:dyDescent="0.25">
      <c r="A155" s="35" t="s">
        <v>777</v>
      </c>
      <c r="B155" s="17" t="s">
        <v>13</v>
      </c>
      <c r="C155" s="36" t="s">
        <v>574</v>
      </c>
      <c r="D155" s="37" t="s">
        <v>772</v>
      </c>
      <c r="E155" s="19" t="s">
        <v>638</v>
      </c>
      <c r="F155" s="20" t="s">
        <v>75</v>
      </c>
      <c r="G155" s="38">
        <v>1398.8</v>
      </c>
      <c r="H155" s="39">
        <v>1380</v>
      </c>
      <c r="I155" s="40">
        <f t="shared" si="6"/>
        <v>1930344</v>
      </c>
      <c r="J155" s="41" t="str">
        <f>IF(ABS(G155*H155-1930344)&lt;1,"✓ OK","⚠ ÉCART")</f>
        <v>✓ OK</v>
      </c>
    </row>
    <row r="156" spans="1:10" ht="15.75" customHeight="1" x14ac:dyDescent="0.25">
      <c r="A156" s="42" t="s">
        <v>778</v>
      </c>
      <c r="B156" s="25" t="s">
        <v>13</v>
      </c>
      <c r="C156" s="43" t="s">
        <v>574</v>
      </c>
      <c r="D156" s="44" t="s">
        <v>772</v>
      </c>
      <c r="E156" s="27" t="s">
        <v>694</v>
      </c>
      <c r="F156" s="28" t="s">
        <v>59</v>
      </c>
      <c r="G156" s="45">
        <v>2.0099999999999998</v>
      </c>
      <c r="H156" s="46">
        <v>189175</v>
      </c>
      <c r="I156" s="47">
        <f t="shared" si="6"/>
        <v>380241.74999999994</v>
      </c>
      <c r="J156" s="48" t="str">
        <f>IF(ABS(G156*H156-380242)&lt;1,"✓ OK","⚠ ÉCART")</f>
        <v>✓ OK</v>
      </c>
    </row>
    <row r="157" spans="1:10" ht="15.75" customHeight="1" x14ac:dyDescent="0.25">
      <c r="A157" s="35" t="s">
        <v>779</v>
      </c>
      <c r="B157" s="17" t="s">
        <v>13</v>
      </c>
      <c r="C157" s="36" t="s">
        <v>574</v>
      </c>
      <c r="D157" s="37" t="s">
        <v>772</v>
      </c>
      <c r="E157" s="19" t="s">
        <v>696</v>
      </c>
      <c r="F157" s="20" t="s">
        <v>54</v>
      </c>
      <c r="G157" s="38">
        <v>30.2</v>
      </c>
      <c r="H157" s="39">
        <v>5750</v>
      </c>
      <c r="I157" s="40">
        <f t="shared" si="6"/>
        <v>173650</v>
      </c>
      <c r="J157" s="41" t="str">
        <f>IF(ABS(G157*H157-173650)&lt;1,"✓ OK","⚠ ÉCART")</f>
        <v>✓ OK</v>
      </c>
    </row>
    <row r="158" spans="1:10" ht="15.75" customHeight="1" x14ac:dyDescent="0.25">
      <c r="A158" s="42" t="s">
        <v>780</v>
      </c>
      <c r="B158" s="25" t="s">
        <v>13</v>
      </c>
      <c r="C158" s="43" t="s">
        <v>574</v>
      </c>
      <c r="D158" s="44" t="s">
        <v>772</v>
      </c>
      <c r="E158" s="27" t="s">
        <v>698</v>
      </c>
      <c r="F158" s="28" t="s">
        <v>75</v>
      </c>
      <c r="G158" s="45">
        <v>140.69999999999999</v>
      </c>
      <c r="H158" s="46">
        <v>1380</v>
      </c>
      <c r="I158" s="47">
        <f t="shared" si="6"/>
        <v>194165.99999999997</v>
      </c>
      <c r="J158" s="48" t="str">
        <f>IF(ABS(G158*H158-194166)&lt;1,"✓ OK","⚠ ÉCART")</f>
        <v>✓ OK</v>
      </c>
    </row>
    <row r="159" spans="1:10" ht="15.75" customHeight="1" x14ac:dyDescent="0.25">
      <c r="A159" s="35" t="s">
        <v>781</v>
      </c>
      <c r="B159" s="17" t="s">
        <v>13</v>
      </c>
      <c r="C159" s="36" t="s">
        <v>574</v>
      </c>
      <c r="D159" s="37" t="s">
        <v>772</v>
      </c>
      <c r="E159" s="19" t="s">
        <v>658</v>
      </c>
      <c r="F159" s="20" t="s">
        <v>59</v>
      </c>
      <c r="G159" s="38">
        <v>21.84</v>
      </c>
      <c r="H159" s="39">
        <v>189175</v>
      </c>
      <c r="I159" s="40">
        <f t="shared" si="6"/>
        <v>4131582</v>
      </c>
      <c r="J159" s="41" t="str">
        <f>IF(ABS(G159*H159-4131582)&lt;1,"✓ OK","⚠ ÉCART")</f>
        <v>✓ OK</v>
      </c>
    </row>
    <row r="160" spans="1:10" ht="15.75" customHeight="1" x14ac:dyDescent="0.25">
      <c r="A160" s="42" t="s">
        <v>782</v>
      </c>
      <c r="B160" s="25" t="s">
        <v>13</v>
      </c>
      <c r="C160" s="43" t="s">
        <v>574</v>
      </c>
      <c r="D160" s="44" t="s">
        <v>772</v>
      </c>
      <c r="E160" s="27" t="s">
        <v>660</v>
      </c>
      <c r="F160" s="28" t="s">
        <v>54</v>
      </c>
      <c r="G160" s="45">
        <v>182</v>
      </c>
      <c r="H160" s="46">
        <v>14231</v>
      </c>
      <c r="I160" s="47">
        <f t="shared" si="6"/>
        <v>2590042</v>
      </c>
      <c r="J160" s="48" t="str">
        <f>IF(ABS(G160*H160-2590042)&lt;1,"✓ OK","⚠ ÉCART")</f>
        <v>✓ OK</v>
      </c>
    </row>
    <row r="161" spans="1:10" ht="15.75" customHeight="1" x14ac:dyDescent="0.25">
      <c r="A161" s="35" t="s">
        <v>783</v>
      </c>
      <c r="B161" s="17" t="s">
        <v>13</v>
      </c>
      <c r="C161" s="36" t="s">
        <v>574</v>
      </c>
      <c r="D161" s="37" t="s">
        <v>772</v>
      </c>
      <c r="E161" s="19" t="s">
        <v>662</v>
      </c>
      <c r="F161" s="20" t="s">
        <v>54</v>
      </c>
      <c r="G161" s="38">
        <v>182</v>
      </c>
      <c r="H161" s="39">
        <v>5750</v>
      </c>
      <c r="I161" s="40">
        <f t="shared" si="6"/>
        <v>1046500</v>
      </c>
      <c r="J161" s="41" t="str">
        <f>IF(ABS(G161*H161-1046500)&lt;1,"✓ OK","⚠ ÉCART")</f>
        <v>✓ OK</v>
      </c>
    </row>
    <row r="162" spans="1:10" ht="15.75" customHeight="1" x14ac:dyDescent="0.25">
      <c r="A162" s="42" t="s">
        <v>784</v>
      </c>
      <c r="B162" s="25" t="s">
        <v>13</v>
      </c>
      <c r="C162" s="43" t="s">
        <v>574</v>
      </c>
      <c r="D162" s="44" t="s">
        <v>772</v>
      </c>
      <c r="E162" s="27" t="s">
        <v>664</v>
      </c>
      <c r="F162" s="28" t="s">
        <v>75</v>
      </c>
      <c r="G162" s="45">
        <v>1966</v>
      </c>
      <c r="H162" s="46">
        <v>1380</v>
      </c>
      <c r="I162" s="47">
        <f t="shared" si="6"/>
        <v>2713080</v>
      </c>
      <c r="J162" s="48" t="str">
        <f>IF(ABS(G162*H162-2713080)&lt;1,"✓ OK","⚠ ÉCART")</f>
        <v>✓ OK</v>
      </c>
    </row>
    <row r="163" spans="1:10" ht="15.75" customHeight="1" x14ac:dyDescent="0.25">
      <c r="A163" s="35" t="s">
        <v>785</v>
      </c>
      <c r="B163" s="17" t="s">
        <v>13</v>
      </c>
      <c r="C163" s="36" t="s">
        <v>574</v>
      </c>
      <c r="D163" s="37" t="s">
        <v>772</v>
      </c>
      <c r="E163" s="19" t="s">
        <v>666</v>
      </c>
      <c r="F163" s="20" t="s">
        <v>54</v>
      </c>
      <c r="G163" s="38">
        <v>387.82</v>
      </c>
      <c r="H163" s="39">
        <v>11185</v>
      </c>
      <c r="I163" s="40">
        <f t="shared" si="6"/>
        <v>4337766.7</v>
      </c>
      <c r="J163" s="41" t="str">
        <f>IF(ABS(G163*H163-4337767)&lt;1,"✓ OK","⚠ ÉCART")</f>
        <v>✓ OK</v>
      </c>
    </row>
    <row r="164" spans="1:10" ht="15.75" customHeight="1" x14ac:dyDescent="0.25">
      <c r="A164" s="42" t="s">
        <v>786</v>
      </c>
      <c r="B164" s="25" t="s">
        <v>13</v>
      </c>
      <c r="C164" s="43" t="s">
        <v>574</v>
      </c>
      <c r="D164" s="44" t="s">
        <v>772</v>
      </c>
      <c r="E164" s="27" t="s">
        <v>682</v>
      </c>
      <c r="F164" s="28" t="s">
        <v>54</v>
      </c>
      <c r="G164" s="45">
        <v>775.63</v>
      </c>
      <c r="H164" s="46">
        <v>3827</v>
      </c>
      <c r="I164" s="47">
        <f t="shared" si="6"/>
        <v>2968336.01</v>
      </c>
      <c r="J164" s="48" t="str">
        <f>IF(ABS(G164*H164-2968336)&lt;1,"✓ OK","⚠ ÉCART")</f>
        <v>✓ OK</v>
      </c>
    </row>
    <row r="165" spans="1:10" ht="15.75" customHeight="1" x14ac:dyDescent="0.25">
      <c r="A165" s="35" t="s">
        <v>787</v>
      </c>
      <c r="B165" s="17" t="s">
        <v>13</v>
      </c>
      <c r="C165" s="36" t="s">
        <v>574</v>
      </c>
      <c r="D165" s="37" t="s">
        <v>772</v>
      </c>
      <c r="E165" s="19" t="s">
        <v>91</v>
      </c>
      <c r="F165" s="20" t="s">
        <v>54</v>
      </c>
      <c r="G165" s="38">
        <v>182</v>
      </c>
      <c r="H165" s="39">
        <v>3827</v>
      </c>
      <c r="I165" s="40">
        <f t="shared" si="6"/>
        <v>696514</v>
      </c>
      <c r="J165" s="41" t="str">
        <f>IF(ABS(G165*H165-696514)&lt;1,"✓ OK","⚠ ÉCART")</f>
        <v>✓ OK</v>
      </c>
    </row>
    <row r="166" spans="1:10" ht="19.5" customHeight="1" x14ac:dyDescent="0.25">
      <c r="A166" s="7" t="s">
        <v>788</v>
      </c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5.75" customHeight="1" x14ac:dyDescent="0.25">
      <c r="A167" s="35" t="s">
        <v>789</v>
      </c>
      <c r="B167" s="17" t="s">
        <v>94</v>
      </c>
      <c r="C167" s="36" t="s">
        <v>574</v>
      </c>
      <c r="D167" s="37" t="s">
        <v>579</v>
      </c>
      <c r="E167" s="19" t="s">
        <v>790</v>
      </c>
      <c r="F167" s="20" t="s">
        <v>54</v>
      </c>
      <c r="G167" s="38">
        <v>107.66</v>
      </c>
      <c r="H167" s="39">
        <v>17276</v>
      </c>
      <c r="I167" s="40">
        <f t="shared" ref="I167:I188" si="7">G167*H167</f>
        <v>1859934.16</v>
      </c>
      <c r="J167" s="41" t="str">
        <f>IF(ABS(G167*H167-1859934)&lt;1,"✓ OK","⚠ ÉCART")</f>
        <v>✓ OK</v>
      </c>
    </row>
    <row r="168" spans="1:10" ht="15.75" customHeight="1" x14ac:dyDescent="0.25">
      <c r="A168" s="42" t="s">
        <v>791</v>
      </c>
      <c r="B168" s="25" t="s">
        <v>94</v>
      </c>
      <c r="C168" s="43" t="s">
        <v>574</v>
      </c>
      <c r="D168" s="44" t="s">
        <v>579</v>
      </c>
      <c r="E168" s="27" t="s">
        <v>792</v>
      </c>
      <c r="F168" s="28" t="s">
        <v>112</v>
      </c>
      <c r="G168" s="45">
        <v>182.8</v>
      </c>
      <c r="H168" s="46">
        <v>8641</v>
      </c>
      <c r="I168" s="47">
        <f t="shared" si="7"/>
        <v>1579574.8</v>
      </c>
      <c r="J168" s="48" t="str">
        <f>IF(ABS(G168*H168-1579575)&lt;1,"✓ OK","⚠ ÉCART")</f>
        <v>✓ OK</v>
      </c>
    </row>
    <row r="169" spans="1:10" ht="15.75" customHeight="1" x14ac:dyDescent="0.25">
      <c r="A169" s="35" t="s">
        <v>793</v>
      </c>
      <c r="B169" s="17" t="s">
        <v>94</v>
      </c>
      <c r="C169" s="36" t="s">
        <v>574</v>
      </c>
      <c r="D169" s="37" t="s">
        <v>582</v>
      </c>
      <c r="E169" s="19" t="s">
        <v>790</v>
      </c>
      <c r="F169" s="20" t="s">
        <v>54</v>
      </c>
      <c r="G169" s="38">
        <v>99.69</v>
      </c>
      <c r="H169" s="39">
        <v>17276</v>
      </c>
      <c r="I169" s="40">
        <f t="shared" si="7"/>
        <v>1722244.44</v>
      </c>
      <c r="J169" s="41" t="str">
        <f>IF(ABS(G169*H169-1722244)&lt;1,"✓ OK","⚠ ÉCART")</f>
        <v>✓ OK</v>
      </c>
    </row>
    <row r="170" spans="1:10" ht="15.75" customHeight="1" x14ac:dyDescent="0.25">
      <c r="A170" s="42" t="s">
        <v>794</v>
      </c>
      <c r="B170" s="25" t="s">
        <v>94</v>
      </c>
      <c r="C170" s="43" t="s">
        <v>574</v>
      </c>
      <c r="D170" s="44" t="s">
        <v>582</v>
      </c>
      <c r="E170" s="27" t="s">
        <v>792</v>
      </c>
      <c r="F170" s="28" t="s">
        <v>112</v>
      </c>
      <c r="G170" s="45">
        <v>159.12</v>
      </c>
      <c r="H170" s="46">
        <v>8641</v>
      </c>
      <c r="I170" s="47">
        <f t="shared" si="7"/>
        <v>1374955.92</v>
      </c>
      <c r="J170" s="48" t="str">
        <f>IF(ABS(G170*H170-1374956)&lt;1,"✓ OK","⚠ ÉCART")</f>
        <v>✓ OK</v>
      </c>
    </row>
    <row r="171" spans="1:10" ht="15.75" customHeight="1" x14ac:dyDescent="0.25">
      <c r="A171" s="35" t="s">
        <v>795</v>
      </c>
      <c r="B171" s="17" t="s">
        <v>94</v>
      </c>
      <c r="C171" s="36" t="s">
        <v>574</v>
      </c>
      <c r="D171" s="37" t="s">
        <v>744</v>
      </c>
      <c r="E171" s="19" t="s">
        <v>790</v>
      </c>
      <c r="F171" s="20" t="s">
        <v>54</v>
      </c>
      <c r="G171" s="38">
        <v>24.95</v>
      </c>
      <c r="H171" s="39">
        <v>17276</v>
      </c>
      <c r="I171" s="40">
        <f t="shared" si="7"/>
        <v>431036.2</v>
      </c>
      <c r="J171" s="41" t="str">
        <f>IF(ABS(G171*H171-431036)&lt;1,"✓ OK","⚠ ÉCART")</f>
        <v>✓ OK</v>
      </c>
    </row>
    <row r="172" spans="1:10" ht="15.75" customHeight="1" x14ac:dyDescent="0.25">
      <c r="A172" s="42" t="s">
        <v>796</v>
      </c>
      <c r="B172" s="25" t="s">
        <v>94</v>
      </c>
      <c r="C172" s="43" t="s">
        <v>574</v>
      </c>
      <c r="D172" s="44" t="s">
        <v>744</v>
      </c>
      <c r="E172" s="27" t="s">
        <v>792</v>
      </c>
      <c r="F172" s="28" t="s">
        <v>112</v>
      </c>
      <c r="G172" s="45">
        <v>56.14</v>
      </c>
      <c r="H172" s="46">
        <v>8641</v>
      </c>
      <c r="I172" s="47">
        <f t="shared" si="7"/>
        <v>485105.74</v>
      </c>
      <c r="J172" s="48" t="str">
        <f>IF(ABS(G172*H172-485106)&lt;1,"✓ OK","⚠ ÉCART")</f>
        <v>✓ OK</v>
      </c>
    </row>
    <row r="173" spans="1:10" ht="15.75" customHeight="1" x14ac:dyDescent="0.25">
      <c r="A173" s="35" t="s">
        <v>797</v>
      </c>
      <c r="B173" s="17" t="s">
        <v>94</v>
      </c>
      <c r="C173" s="36" t="s">
        <v>574</v>
      </c>
      <c r="D173" s="37" t="s">
        <v>744</v>
      </c>
      <c r="E173" s="19" t="s">
        <v>798</v>
      </c>
      <c r="F173" s="20" t="s">
        <v>54</v>
      </c>
      <c r="G173" s="38">
        <v>320</v>
      </c>
      <c r="H173" s="39">
        <v>11793</v>
      </c>
      <c r="I173" s="40">
        <f t="shared" si="7"/>
        <v>3773760</v>
      </c>
      <c r="J173" s="41" t="str">
        <f>IF(ABS(G173*H173-3773760)&lt;1,"✓ OK","⚠ ÉCART")</f>
        <v>✓ OK</v>
      </c>
    </row>
    <row r="174" spans="1:10" ht="15.75" customHeight="1" x14ac:dyDescent="0.25">
      <c r="A174" s="42" t="s">
        <v>799</v>
      </c>
      <c r="B174" s="25" t="s">
        <v>94</v>
      </c>
      <c r="C174" s="43" t="s">
        <v>574</v>
      </c>
      <c r="D174" s="44" t="s">
        <v>744</v>
      </c>
      <c r="E174" s="27" t="s">
        <v>800</v>
      </c>
      <c r="F174" s="28" t="s">
        <v>54</v>
      </c>
      <c r="G174" s="45">
        <v>320</v>
      </c>
      <c r="H174" s="46">
        <v>34552</v>
      </c>
      <c r="I174" s="47">
        <f t="shared" si="7"/>
        <v>11056640</v>
      </c>
      <c r="J174" s="48" t="str">
        <f>IF(ABS(G174*H174-11056640)&lt;1,"✓ OK","⚠ ÉCART")</f>
        <v>✓ OK</v>
      </c>
    </row>
    <row r="175" spans="1:10" ht="15.75" customHeight="1" x14ac:dyDescent="0.25">
      <c r="A175" s="35" t="s">
        <v>801</v>
      </c>
      <c r="B175" s="17" t="s">
        <v>94</v>
      </c>
      <c r="C175" s="36" t="s">
        <v>574</v>
      </c>
      <c r="D175" s="37" t="s">
        <v>744</v>
      </c>
      <c r="E175" s="19" t="s">
        <v>802</v>
      </c>
      <c r="F175" s="20" t="s">
        <v>112</v>
      </c>
      <c r="G175" s="38">
        <v>120</v>
      </c>
      <c r="H175" s="39">
        <v>8641</v>
      </c>
      <c r="I175" s="40">
        <f t="shared" si="7"/>
        <v>1036920</v>
      </c>
      <c r="J175" s="41" t="str">
        <f>IF(ABS(G175*H175-1036920)&lt;1,"✓ OK","⚠ ÉCART")</f>
        <v>✓ OK</v>
      </c>
    </row>
    <row r="176" spans="1:10" ht="15.75" customHeight="1" x14ac:dyDescent="0.25">
      <c r="A176" s="42" t="s">
        <v>803</v>
      </c>
      <c r="B176" s="25" t="s">
        <v>94</v>
      </c>
      <c r="C176" s="43" t="s">
        <v>574</v>
      </c>
      <c r="D176" s="44" t="s">
        <v>744</v>
      </c>
      <c r="E176" s="27" t="s">
        <v>804</v>
      </c>
      <c r="F176" s="28" t="s">
        <v>54</v>
      </c>
      <c r="G176" s="45">
        <v>56.75</v>
      </c>
      <c r="H176" s="46">
        <v>11793</v>
      </c>
      <c r="I176" s="47">
        <f t="shared" si="7"/>
        <v>669252.75</v>
      </c>
      <c r="J176" s="48" t="str">
        <f>IF(ABS(G176*H176-669253)&lt;1,"✓ OK","⚠ ÉCART")</f>
        <v>✓ OK</v>
      </c>
    </row>
    <row r="177" spans="1:10" ht="15.75" customHeight="1" x14ac:dyDescent="0.25">
      <c r="A177" s="35" t="s">
        <v>805</v>
      </c>
      <c r="B177" s="17" t="s">
        <v>94</v>
      </c>
      <c r="C177" s="36" t="s">
        <v>574</v>
      </c>
      <c r="D177" s="37" t="s">
        <v>744</v>
      </c>
      <c r="E177" s="19" t="s">
        <v>806</v>
      </c>
      <c r="F177" s="20" t="s">
        <v>54</v>
      </c>
      <c r="G177" s="38">
        <v>56.75</v>
      </c>
      <c r="H177" s="39">
        <v>17276</v>
      </c>
      <c r="I177" s="40">
        <f t="shared" si="7"/>
        <v>980413</v>
      </c>
      <c r="J177" s="41" t="str">
        <f>IF(ABS(G177*H177-980413)&lt;1,"✓ OK","⚠ ÉCART")</f>
        <v>✓ OK</v>
      </c>
    </row>
    <row r="178" spans="1:10" ht="15.75" customHeight="1" x14ac:dyDescent="0.25">
      <c r="A178" s="42" t="s">
        <v>807</v>
      </c>
      <c r="B178" s="25" t="s">
        <v>94</v>
      </c>
      <c r="C178" s="43" t="s">
        <v>574</v>
      </c>
      <c r="D178" s="44" t="s">
        <v>744</v>
      </c>
      <c r="E178" s="27" t="s">
        <v>808</v>
      </c>
      <c r="F178" s="28" t="s">
        <v>112</v>
      </c>
      <c r="G178" s="45">
        <v>36</v>
      </c>
      <c r="H178" s="46">
        <v>8641</v>
      </c>
      <c r="I178" s="47">
        <f t="shared" si="7"/>
        <v>311076</v>
      </c>
      <c r="J178" s="48" t="str">
        <f>IF(ABS(G178*H178-311076)&lt;1,"✓ OK","⚠ ÉCART")</f>
        <v>✓ OK</v>
      </c>
    </row>
    <row r="179" spans="1:10" ht="15.75" customHeight="1" x14ac:dyDescent="0.25">
      <c r="A179" s="35" t="s">
        <v>809</v>
      </c>
      <c r="B179" s="17" t="s">
        <v>94</v>
      </c>
      <c r="C179" s="36" t="s">
        <v>574</v>
      </c>
      <c r="D179" s="37" t="s">
        <v>772</v>
      </c>
      <c r="E179" s="19" t="s">
        <v>790</v>
      </c>
      <c r="F179" s="20" t="s">
        <v>54</v>
      </c>
      <c r="G179" s="38">
        <v>55.52</v>
      </c>
      <c r="H179" s="39">
        <v>17276</v>
      </c>
      <c r="I179" s="40">
        <f t="shared" si="7"/>
        <v>959163.52</v>
      </c>
      <c r="J179" s="41" t="str">
        <f>IF(ABS(G179*H179-959164)&lt;1,"✓ OK","⚠ ÉCART")</f>
        <v>✓ OK</v>
      </c>
    </row>
    <row r="180" spans="1:10" ht="15.75" customHeight="1" x14ac:dyDescent="0.25">
      <c r="A180" s="42" t="s">
        <v>810</v>
      </c>
      <c r="B180" s="25" t="s">
        <v>94</v>
      </c>
      <c r="C180" s="43" t="s">
        <v>574</v>
      </c>
      <c r="D180" s="44" t="s">
        <v>772</v>
      </c>
      <c r="E180" s="27" t="s">
        <v>792</v>
      </c>
      <c r="F180" s="28" t="s">
        <v>112</v>
      </c>
      <c r="G180" s="45">
        <v>89.96</v>
      </c>
      <c r="H180" s="46">
        <v>8641</v>
      </c>
      <c r="I180" s="47">
        <f t="shared" si="7"/>
        <v>777344.36</v>
      </c>
      <c r="J180" s="48" t="str">
        <f>IF(ABS(G180*H180-777344)&lt;1,"✓ OK","⚠ ÉCART")</f>
        <v>✓ OK</v>
      </c>
    </row>
    <row r="181" spans="1:10" ht="15.75" customHeight="1" x14ac:dyDescent="0.25">
      <c r="A181" s="35" t="s">
        <v>811</v>
      </c>
      <c r="B181" s="17" t="s">
        <v>94</v>
      </c>
      <c r="C181" s="36" t="s">
        <v>574</v>
      </c>
      <c r="D181" s="37" t="s">
        <v>812</v>
      </c>
      <c r="E181" s="19" t="s">
        <v>804</v>
      </c>
      <c r="F181" s="20" t="s">
        <v>54</v>
      </c>
      <c r="G181" s="38">
        <v>83</v>
      </c>
      <c r="H181" s="39">
        <v>11793</v>
      </c>
      <c r="I181" s="40">
        <f t="shared" si="7"/>
        <v>978819</v>
      </c>
      <c r="J181" s="41" t="str">
        <f>IF(ABS(G181*H181-978819)&lt;1,"✓ OK","⚠ ÉCART")</f>
        <v>✓ OK</v>
      </c>
    </row>
    <row r="182" spans="1:10" ht="15.75" customHeight="1" x14ac:dyDescent="0.25">
      <c r="A182" s="42" t="s">
        <v>813</v>
      </c>
      <c r="B182" s="25" t="s">
        <v>94</v>
      </c>
      <c r="C182" s="43" t="s">
        <v>574</v>
      </c>
      <c r="D182" s="44" t="s">
        <v>812</v>
      </c>
      <c r="E182" s="27" t="s">
        <v>814</v>
      </c>
      <c r="F182" s="28" t="s">
        <v>54</v>
      </c>
      <c r="G182" s="45">
        <v>83</v>
      </c>
      <c r="H182" s="46">
        <v>17276</v>
      </c>
      <c r="I182" s="47">
        <f t="shared" si="7"/>
        <v>1433908</v>
      </c>
      <c r="J182" s="48" t="str">
        <f>IF(ABS(G182*H182-1433908)&lt;1,"✓ OK","⚠ ÉCART")</f>
        <v>✓ OK</v>
      </c>
    </row>
    <row r="183" spans="1:10" ht="15.75" customHeight="1" x14ac:dyDescent="0.25">
      <c r="A183" s="35" t="s">
        <v>815</v>
      </c>
      <c r="B183" s="17" t="s">
        <v>94</v>
      </c>
      <c r="C183" s="36" t="s">
        <v>574</v>
      </c>
      <c r="D183" s="37" t="s">
        <v>812</v>
      </c>
      <c r="E183" s="19" t="s">
        <v>808</v>
      </c>
      <c r="F183" s="20" t="s">
        <v>112</v>
      </c>
      <c r="G183" s="38">
        <v>11.87</v>
      </c>
      <c r="H183" s="39">
        <v>8641</v>
      </c>
      <c r="I183" s="40">
        <f t="shared" si="7"/>
        <v>102568.67</v>
      </c>
      <c r="J183" s="41" t="str">
        <f>IF(ABS(G183*H183-102569)&lt;1,"✓ OK","⚠ ÉCART")</f>
        <v>✓ OK</v>
      </c>
    </row>
    <row r="184" spans="1:10" ht="15.75" customHeight="1" x14ac:dyDescent="0.25">
      <c r="A184" s="42" t="s">
        <v>816</v>
      </c>
      <c r="B184" s="25" t="s">
        <v>94</v>
      </c>
      <c r="C184" s="43" t="s">
        <v>578</v>
      </c>
      <c r="D184" s="44" t="s">
        <v>579</v>
      </c>
      <c r="E184" s="27" t="s">
        <v>817</v>
      </c>
      <c r="F184" s="28" t="s">
        <v>54</v>
      </c>
      <c r="G184" s="45">
        <v>61.54</v>
      </c>
      <c r="H184" s="46">
        <v>17276</v>
      </c>
      <c r="I184" s="47">
        <f t="shared" si="7"/>
        <v>1063165.04</v>
      </c>
      <c r="J184" s="48" t="str">
        <f>IF(ABS(G184*H184-1063165)&lt;1,"✓ OK","⚠ ÉCART")</f>
        <v>✓ OK</v>
      </c>
    </row>
    <row r="185" spans="1:10" ht="15.75" customHeight="1" x14ac:dyDescent="0.25">
      <c r="A185" s="35" t="s">
        <v>818</v>
      </c>
      <c r="B185" s="17" t="s">
        <v>94</v>
      </c>
      <c r="C185" s="36" t="s">
        <v>578</v>
      </c>
      <c r="D185" s="37" t="s">
        <v>579</v>
      </c>
      <c r="E185" s="19" t="s">
        <v>792</v>
      </c>
      <c r="F185" s="20" t="s">
        <v>112</v>
      </c>
      <c r="G185" s="38">
        <v>77.72</v>
      </c>
      <c r="H185" s="39">
        <v>8641</v>
      </c>
      <c r="I185" s="40">
        <f t="shared" si="7"/>
        <v>671578.52</v>
      </c>
      <c r="J185" s="41" t="str">
        <f>IF(ABS(G185*H185-671579)&lt;1,"✓ OK","⚠ ÉCART")</f>
        <v>✓ OK</v>
      </c>
    </row>
    <row r="186" spans="1:10" ht="15.75" customHeight="1" x14ac:dyDescent="0.25">
      <c r="A186" s="42" t="s">
        <v>819</v>
      </c>
      <c r="B186" s="25" t="s">
        <v>94</v>
      </c>
      <c r="C186" s="43" t="s">
        <v>578</v>
      </c>
      <c r="D186" s="44" t="s">
        <v>812</v>
      </c>
      <c r="E186" s="27" t="s">
        <v>804</v>
      </c>
      <c r="F186" s="28" t="s">
        <v>54</v>
      </c>
      <c r="G186" s="45">
        <v>231</v>
      </c>
      <c r="H186" s="46">
        <v>11793</v>
      </c>
      <c r="I186" s="47">
        <f t="shared" si="7"/>
        <v>2724183</v>
      </c>
      <c r="J186" s="48" t="str">
        <f>IF(ABS(G186*H186-2724183)&lt;1,"✓ OK","⚠ ÉCART")</f>
        <v>✓ OK</v>
      </c>
    </row>
    <row r="187" spans="1:10" ht="15.75" customHeight="1" x14ac:dyDescent="0.25">
      <c r="A187" s="35" t="s">
        <v>820</v>
      </c>
      <c r="B187" s="17" t="s">
        <v>94</v>
      </c>
      <c r="C187" s="36" t="s">
        <v>578</v>
      </c>
      <c r="D187" s="37" t="s">
        <v>812</v>
      </c>
      <c r="E187" s="19" t="s">
        <v>821</v>
      </c>
      <c r="F187" s="20" t="s">
        <v>54</v>
      </c>
      <c r="G187" s="38">
        <v>231</v>
      </c>
      <c r="H187" s="39">
        <v>17276</v>
      </c>
      <c r="I187" s="40">
        <f t="shared" si="7"/>
        <v>3990756</v>
      </c>
      <c r="J187" s="41" t="str">
        <f>IF(ABS(G187*H187-3990756)&lt;1,"✓ OK","⚠ ÉCART")</f>
        <v>✓ OK</v>
      </c>
    </row>
    <row r="188" spans="1:10" ht="15.75" customHeight="1" x14ac:dyDescent="0.25">
      <c r="A188" s="42" t="s">
        <v>822</v>
      </c>
      <c r="B188" s="25" t="s">
        <v>94</v>
      </c>
      <c r="C188" s="43" t="s">
        <v>578</v>
      </c>
      <c r="D188" s="44" t="s">
        <v>812</v>
      </c>
      <c r="E188" s="27" t="s">
        <v>808</v>
      </c>
      <c r="F188" s="28" t="s">
        <v>112</v>
      </c>
      <c r="G188" s="45">
        <v>101.1</v>
      </c>
      <c r="H188" s="46">
        <v>8641</v>
      </c>
      <c r="I188" s="47">
        <f t="shared" si="7"/>
        <v>873605.1</v>
      </c>
      <c r="J188" s="48" t="str">
        <f>IF(ABS(G188*H188-873605)&lt;1,"✓ OK","⚠ ÉCART")</f>
        <v>✓ OK</v>
      </c>
    </row>
    <row r="189" spans="1:10" ht="19.5" customHeight="1" x14ac:dyDescent="0.25">
      <c r="A189" s="7" t="s">
        <v>823</v>
      </c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5.75" customHeight="1" x14ac:dyDescent="0.25">
      <c r="A190" s="42" t="s">
        <v>824</v>
      </c>
      <c r="B190" s="25" t="s">
        <v>115</v>
      </c>
      <c r="C190" s="43" t="s">
        <v>574</v>
      </c>
      <c r="D190" s="44" t="s">
        <v>575</v>
      </c>
      <c r="E190" s="27" t="s">
        <v>825</v>
      </c>
      <c r="F190" s="28" t="s">
        <v>54</v>
      </c>
      <c r="G190" s="45">
        <v>314.58999999999997</v>
      </c>
      <c r="H190" s="46">
        <v>28175</v>
      </c>
      <c r="I190" s="47">
        <f t="shared" ref="I190:I212" si="8">G190*H190</f>
        <v>8863573.25</v>
      </c>
      <c r="J190" s="48" t="str">
        <f>IF(ABS(G190*H190-8863573)&lt;1,"✓ OK","⚠ ÉCART")</f>
        <v>✓ OK</v>
      </c>
    </row>
    <row r="191" spans="1:10" ht="15.75" customHeight="1" x14ac:dyDescent="0.25">
      <c r="A191" s="35" t="s">
        <v>826</v>
      </c>
      <c r="B191" s="17" t="s">
        <v>115</v>
      </c>
      <c r="C191" s="36" t="s">
        <v>574</v>
      </c>
      <c r="D191" s="37" t="s">
        <v>575</v>
      </c>
      <c r="E191" s="19" t="s">
        <v>827</v>
      </c>
      <c r="F191" s="20" t="s">
        <v>54</v>
      </c>
      <c r="G191" s="38">
        <v>559</v>
      </c>
      <c r="H191" s="39">
        <v>33925</v>
      </c>
      <c r="I191" s="40">
        <f t="shared" si="8"/>
        <v>18964075</v>
      </c>
      <c r="J191" s="41" t="str">
        <f>IF(ABS(G191*H191-18964075)&lt;1,"✓ OK","⚠ ÉCART")</f>
        <v>✓ OK</v>
      </c>
    </row>
    <row r="192" spans="1:10" ht="15.75" customHeight="1" x14ac:dyDescent="0.25">
      <c r="A192" s="42" t="s">
        <v>828</v>
      </c>
      <c r="B192" s="25" t="s">
        <v>115</v>
      </c>
      <c r="C192" s="43" t="s">
        <v>574</v>
      </c>
      <c r="D192" s="44" t="s">
        <v>575</v>
      </c>
      <c r="E192" s="27" t="s">
        <v>829</v>
      </c>
      <c r="F192" s="28" t="s">
        <v>112</v>
      </c>
      <c r="G192" s="45">
        <v>418.68</v>
      </c>
      <c r="H192" s="46">
        <v>5750</v>
      </c>
      <c r="I192" s="47">
        <f t="shared" si="8"/>
        <v>2407410</v>
      </c>
      <c r="J192" s="48" t="str">
        <f>IF(ABS(G192*H192-2407410)&lt;1,"✓ OK","⚠ ÉCART")</f>
        <v>✓ OK</v>
      </c>
    </row>
    <row r="193" spans="1:10" ht="15.75" customHeight="1" x14ac:dyDescent="0.25">
      <c r="A193" s="35" t="s">
        <v>830</v>
      </c>
      <c r="B193" s="17" t="s">
        <v>115</v>
      </c>
      <c r="C193" s="36" t="s">
        <v>574</v>
      </c>
      <c r="D193" s="37" t="s">
        <v>579</v>
      </c>
      <c r="E193" s="19" t="s">
        <v>831</v>
      </c>
      <c r="F193" s="20" t="s">
        <v>54</v>
      </c>
      <c r="G193" s="38">
        <v>351.33</v>
      </c>
      <c r="H193" s="39">
        <v>28175</v>
      </c>
      <c r="I193" s="40">
        <f t="shared" si="8"/>
        <v>9898722.75</v>
      </c>
      <c r="J193" s="41" t="str">
        <f>IF(ABS(G193*H193-9898723)&lt;1,"✓ OK","⚠ ÉCART")</f>
        <v>✓ OK</v>
      </c>
    </row>
    <row r="194" spans="1:10" ht="15.75" customHeight="1" x14ac:dyDescent="0.25">
      <c r="A194" s="42" t="s">
        <v>832</v>
      </c>
      <c r="B194" s="25" t="s">
        <v>115</v>
      </c>
      <c r="C194" s="43" t="s">
        <v>574</v>
      </c>
      <c r="D194" s="44" t="s">
        <v>579</v>
      </c>
      <c r="E194" s="27" t="s">
        <v>827</v>
      </c>
      <c r="F194" s="28" t="s">
        <v>54</v>
      </c>
      <c r="G194" s="45">
        <v>594</v>
      </c>
      <c r="H194" s="46">
        <v>33925</v>
      </c>
      <c r="I194" s="47">
        <f t="shared" si="8"/>
        <v>20151450</v>
      </c>
      <c r="J194" s="48" t="str">
        <f>IF(ABS(G194*H194-20151450)&lt;1,"✓ OK","⚠ ÉCART")</f>
        <v>✓ OK</v>
      </c>
    </row>
    <row r="195" spans="1:10" ht="15.75" customHeight="1" x14ac:dyDescent="0.25">
      <c r="A195" s="35" t="s">
        <v>833</v>
      </c>
      <c r="B195" s="17" t="s">
        <v>115</v>
      </c>
      <c r="C195" s="36" t="s">
        <v>574</v>
      </c>
      <c r="D195" s="37" t="s">
        <v>579</v>
      </c>
      <c r="E195" s="19" t="s">
        <v>829</v>
      </c>
      <c r="F195" s="20" t="s">
        <v>112</v>
      </c>
      <c r="G195" s="38">
        <v>494.58</v>
      </c>
      <c r="H195" s="39">
        <v>5750</v>
      </c>
      <c r="I195" s="40">
        <f t="shared" si="8"/>
        <v>2843835</v>
      </c>
      <c r="J195" s="41" t="str">
        <f>IF(ABS(G195*H195-2843835)&lt;1,"✓ OK","⚠ ÉCART")</f>
        <v>✓ OK</v>
      </c>
    </row>
    <row r="196" spans="1:10" ht="15.75" customHeight="1" x14ac:dyDescent="0.25">
      <c r="A196" s="42" t="s">
        <v>834</v>
      </c>
      <c r="B196" s="25" t="s">
        <v>115</v>
      </c>
      <c r="C196" s="43" t="s">
        <v>574</v>
      </c>
      <c r="D196" s="44" t="s">
        <v>582</v>
      </c>
      <c r="E196" s="27" t="s">
        <v>831</v>
      </c>
      <c r="F196" s="28" t="s">
        <v>54</v>
      </c>
      <c r="G196" s="45">
        <v>278.2</v>
      </c>
      <c r="H196" s="46">
        <v>28175</v>
      </c>
      <c r="I196" s="47">
        <f t="shared" si="8"/>
        <v>7838285</v>
      </c>
      <c r="J196" s="48" t="str">
        <f>IF(ABS(G196*H196-7838285)&lt;1,"✓ OK","⚠ ÉCART")</f>
        <v>✓ OK</v>
      </c>
    </row>
    <row r="197" spans="1:10" ht="15.75" customHeight="1" x14ac:dyDescent="0.25">
      <c r="A197" s="35" t="s">
        <v>835</v>
      </c>
      <c r="B197" s="17" t="s">
        <v>115</v>
      </c>
      <c r="C197" s="36" t="s">
        <v>574</v>
      </c>
      <c r="D197" s="37" t="s">
        <v>582</v>
      </c>
      <c r="E197" s="19" t="s">
        <v>827</v>
      </c>
      <c r="F197" s="20" t="s">
        <v>54</v>
      </c>
      <c r="G197" s="38">
        <v>557</v>
      </c>
      <c r="H197" s="39">
        <v>33925</v>
      </c>
      <c r="I197" s="40">
        <f t="shared" si="8"/>
        <v>18896225</v>
      </c>
      <c r="J197" s="41" t="str">
        <f>IF(ABS(G197*H197-18896225)&lt;1,"✓ OK","⚠ ÉCART")</f>
        <v>✓ OK</v>
      </c>
    </row>
    <row r="198" spans="1:10" ht="15.75" customHeight="1" x14ac:dyDescent="0.25">
      <c r="A198" s="42" t="s">
        <v>836</v>
      </c>
      <c r="B198" s="25" t="s">
        <v>115</v>
      </c>
      <c r="C198" s="43" t="s">
        <v>574</v>
      </c>
      <c r="D198" s="44" t="s">
        <v>582</v>
      </c>
      <c r="E198" s="27" t="s">
        <v>829</v>
      </c>
      <c r="F198" s="28" t="s">
        <v>112</v>
      </c>
      <c r="G198" s="45">
        <v>499.38</v>
      </c>
      <c r="H198" s="46">
        <v>5750</v>
      </c>
      <c r="I198" s="47">
        <f t="shared" si="8"/>
        <v>2871435</v>
      </c>
      <c r="J198" s="48" t="str">
        <f>IF(ABS(G198*H198-2871435)&lt;1,"✓ OK","⚠ ÉCART")</f>
        <v>✓ OK</v>
      </c>
    </row>
    <row r="199" spans="1:10" ht="15.75" customHeight="1" x14ac:dyDescent="0.25">
      <c r="A199" s="35" t="s">
        <v>837</v>
      </c>
      <c r="B199" s="17" t="s">
        <v>115</v>
      </c>
      <c r="C199" s="36" t="s">
        <v>574</v>
      </c>
      <c r="D199" s="37" t="s">
        <v>744</v>
      </c>
      <c r="E199" s="19" t="s">
        <v>838</v>
      </c>
      <c r="F199" s="20" t="s">
        <v>54</v>
      </c>
      <c r="G199" s="38">
        <v>162.06</v>
      </c>
      <c r="H199" s="39">
        <v>28175</v>
      </c>
      <c r="I199" s="40">
        <f t="shared" si="8"/>
        <v>4566040.5</v>
      </c>
      <c r="J199" s="41" t="str">
        <f>IF(ABS(G199*H199-4566041)&lt;1,"✓ OK","⚠ ÉCART")</f>
        <v>✓ OK</v>
      </c>
    </row>
    <row r="200" spans="1:10" ht="15.75" customHeight="1" x14ac:dyDescent="0.25">
      <c r="A200" s="42" t="s">
        <v>839</v>
      </c>
      <c r="B200" s="25" t="s">
        <v>115</v>
      </c>
      <c r="C200" s="43" t="s">
        <v>574</v>
      </c>
      <c r="D200" s="44" t="s">
        <v>744</v>
      </c>
      <c r="E200" s="27" t="s">
        <v>827</v>
      </c>
      <c r="F200" s="28" t="s">
        <v>54</v>
      </c>
      <c r="G200" s="45">
        <v>557</v>
      </c>
      <c r="H200" s="46">
        <v>33925</v>
      </c>
      <c r="I200" s="47">
        <f t="shared" si="8"/>
        <v>18896225</v>
      </c>
      <c r="J200" s="48" t="str">
        <f>IF(ABS(G200*H200-18896225)&lt;1,"✓ OK","⚠ ÉCART")</f>
        <v>✓ OK</v>
      </c>
    </row>
    <row r="201" spans="1:10" ht="15.75" customHeight="1" x14ac:dyDescent="0.25">
      <c r="A201" s="35" t="s">
        <v>840</v>
      </c>
      <c r="B201" s="17" t="s">
        <v>115</v>
      </c>
      <c r="C201" s="36" t="s">
        <v>574</v>
      </c>
      <c r="D201" s="37" t="s">
        <v>744</v>
      </c>
      <c r="E201" s="19" t="s">
        <v>829</v>
      </c>
      <c r="F201" s="20" t="s">
        <v>112</v>
      </c>
      <c r="G201" s="38">
        <v>300.82</v>
      </c>
      <c r="H201" s="39">
        <v>5750</v>
      </c>
      <c r="I201" s="40">
        <f t="shared" si="8"/>
        <v>1729715</v>
      </c>
      <c r="J201" s="41" t="str">
        <f>IF(ABS(G201*H201-1729715)&lt;1,"✓ OK","⚠ ÉCART")</f>
        <v>✓ OK</v>
      </c>
    </row>
    <row r="202" spans="1:10" ht="15.75" customHeight="1" x14ac:dyDescent="0.25">
      <c r="A202" s="42" t="s">
        <v>841</v>
      </c>
      <c r="B202" s="25" t="s">
        <v>115</v>
      </c>
      <c r="C202" s="43" t="s">
        <v>574</v>
      </c>
      <c r="D202" s="44" t="s">
        <v>772</v>
      </c>
      <c r="E202" s="27" t="s">
        <v>842</v>
      </c>
      <c r="F202" s="28" t="s">
        <v>54</v>
      </c>
      <c r="G202" s="45">
        <v>99.33</v>
      </c>
      <c r="H202" s="46">
        <v>28175</v>
      </c>
      <c r="I202" s="47">
        <f t="shared" si="8"/>
        <v>2798622.75</v>
      </c>
      <c r="J202" s="48" t="str">
        <f>IF(ABS(G202*H202-2798623)&lt;1,"✓ OK","⚠ ÉCART")</f>
        <v>✓ OK</v>
      </c>
    </row>
    <row r="203" spans="1:10" ht="15.75" customHeight="1" x14ac:dyDescent="0.25">
      <c r="A203" s="35" t="s">
        <v>843</v>
      </c>
      <c r="B203" s="17" t="s">
        <v>115</v>
      </c>
      <c r="C203" s="36" t="s">
        <v>574</v>
      </c>
      <c r="D203" s="37" t="s">
        <v>772</v>
      </c>
      <c r="E203" s="19" t="s">
        <v>827</v>
      </c>
      <c r="F203" s="20" t="s">
        <v>54</v>
      </c>
      <c r="G203" s="38">
        <v>182</v>
      </c>
      <c r="H203" s="39">
        <v>33925</v>
      </c>
      <c r="I203" s="40">
        <f t="shared" si="8"/>
        <v>6174350</v>
      </c>
      <c r="J203" s="41" t="str">
        <f>IF(ABS(G203*H203-6174350)&lt;1,"✓ OK","⚠ ÉCART")</f>
        <v>✓ OK</v>
      </c>
    </row>
    <row r="204" spans="1:10" ht="15.75" customHeight="1" x14ac:dyDescent="0.25">
      <c r="A204" s="42" t="s">
        <v>844</v>
      </c>
      <c r="B204" s="25" t="s">
        <v>115</v>
      </c>
      <c r="C204" s="43" t="s">
        <v>574</v>
      </c>
      <c r="D204" s="44" t="s">
        <v>772</v>
      </c>
      <c r="E204" s="27" t="s">
        <v>829</v>
      </c>
      <c r="F204" s="28" t="s">
        <v>112</v>
      </c>
      <c r="G204" s="45">
        <v>172.84</v>
      </c>
      <c r="H204" s="46">
        <v>5750</v>
      </c>
      <c r="I204" s="47">
        <f t="shared" si="8"/>
        <v>993830</v>
      </c>
      <c r="J204" s="48" t="str">
        <f>IF(ABS(G204*H204-993830)&lt;1,"✓ OK","⚠ ÉCART")</f>
        <v>✓ OK</v>
      </c>
    </row>
    <row r="205" spans="1:10" ht="15.75" customHeight="1" x14ac:dyDescent="0.25">
      <c r="A205" s="35" t="s">
        <v>845</v>
      </c>
      <c r="B205" s="17" t="s">
        <v>115</v>
      </c>
      <c r="C205" s="36" t="s">
        <v>578</v>
      </c>
      <c r="D205" s="37" t="s">
        <v>575</v>
      </c>
      <c r="E205" s="19" t="s">
        <v>846</v>
      </c>
      <c r="F205" s="20" t="s">
        <v>54</v>
      </c>
      <c r="G205" s="38">
        <v>87.52</v>
      </c>
      <c r="H205" s="39">
        <v>28175</v>
      </c>
      <c r="I205" s="40">
        <f t="shared" si="8"/>
        <v>2465876</v>
      </c>
      <c r="J205" s="41" t="str">
        <f>IF(ABS(G205*H205-2465876)&lt;1,"✓ OK","⚠ ÉCART")</f>
        <v>✓ OK</v>
      </c>
    </row>
    <row r="206" spans="1:10" ht="15.75" customHeight="1" x14ac:dyDescent="0.25">
      <c r="A206" s="42" t="s">
        <v>847</v>
      </c>
      <c r="B206" s="25" t="s">
        <v>115</v>
      </c>
      <c r="C206" s="43" t="s">
        <v>578</v>
      </c>
      <c r="D206" s="44" t="s">
        <v>575</v>
      </c>
      <c r="E206" s="27" t="s">
        <v>848</v>
      </c>
      <c r="F206" s="28" t="s">
        <v>54</v>
      </c>
      <c r="G206" s="45">
        <v>56.71</v>
      </c>
      <c r="H206" s="46">
        <v>28175</v>
      </c>
      <c r="I206" s="47">
        <f t="shared" si="8"/>
        <v>1597804.25</v>
      </c>
      <c r="J206" s="48" t="str">
        <f>IF(ABS(G206*H206-1597804)&lt;1,"✓ OK","⚠ ÉCART")</f>
        <v>✓ OK</v>
      </c>
    </row>
    <row r="207" spans="1:10" ht="15.75" customHeight="1" x14ac:dyDescent="0.25">
      <c r="A207" s="35" t="s">
        <v>849</v>
      </c>
      <c r="B207" s="17" t="s">
        <v>115</v>
      </c>
      <c r="C207" s="36" t="s">
        <v>578</v>
      </c>
      <c r="D207" s="37" t="s">
        <v>575</v>
      </c>
      <c r="E207" s="19" t="s">
        <v>850</v>
      </c>
      <c r="F207" s="20" t="s">
        <v>112</v>
      </c>
      <c r="G207" s="38">
        <v>5.19</v>
      </c>
      <c r="H207" s="39">
        <v>517500</v>
      </c>
      <c r="I207" s="40">
        <f t="shared" si="8"/>
        <v>2685825</v>
      </c>
      <c r="J207" s="41" t="str">
        <f>IF(ABS(G207*H207-2685825)&lt;1,"✓ OK","⚠ ÉCART")</f>
        <v>✓ OK</v>
      </c>
    </row>
    <row r="208" spans="1:10" ht="15.75" customHeight="1" x14ac:dyDescent="0.25">
      <c r="A208" s="42" t="s">
        <v>851</v>
      </c>
      <c r="B208" s="25" t="s">
        <v>115</v>
      </c>
      <c r="C208" s="43" t="s">
        <v>578</v>
      </c>
      <c r="D208" s="44" t="s">
        <v>575</v>
      </c>
      <c r="E208" s="27" t="s">
        <v>827</v>
      </c>
      <c r="F208" s="28" t="s">
        <v>54</v>
      </c>
      <c r="G208" s="45">
        <v>210</v>
      </c>
      <c r="H208" s="46">
        <v>33925</v>
      </c>
      <c r="I208" s="47">
        <f t="shared" si="8"/>
        <v>7124250</v>
      </c>
      <c r="J208" s="48" t="str">
        <f>IF(ABS(G208*H208-7124250)&lt;1,"✓ OK","⚠ ÉCART")</f>
        <v>✓ OK</v>
      </c>
    </row>
    <row r="209" spans="1:10" ht="15.75" customHeight="1" x14ac:dyDescent="0.25">
      <c r="A209" s="35" t="s">
        <v>852</v>
      </c>
      <c r="B209" s="17" t="s">
        <v>115</v>
      </c>
      <c r="C209" s="36" t="s">
        <v>578</v>
      </c>
      <c r="D209" s="37" t="s">
        <v>575</v>
      </c>
      <c r="E209" s="19" t="s">
        <v>829</v>
      </c>
      <c r="F209" s="20" t="s">
        <v>112</v>
      </c>
      <c r="G209" s="38">
        <v>119.94</v>
      </c>
      <c r="H209" s="39">
        <v>5750</v>
      </c>
      <c r="I209" s="40">
        <f t="shared" si="8"/>
        <v>689655</v>
      </c>
      <c r="J209" s="41" t="str">
        <f>IF(ABS(G209*H209-689655)&lt;1,"✓ OK","⚠ ÉCART")</f>
        <v>✓ OK</v>
      </c>
    </row>
    <row r="210" spans="1:10" ht="15.75" customHeight="1" x14ac:dyDescent="0.25">
      <c r="A210" s="42" t="s">
        <v>853</v>
      </c>
      <c r="B210" s="25" t="s">
        <v>115</v>
      </c>
      <c r="C210" s="43" t="s">
        <v>578</v>
      </c>
      <c r="D210" s="44" t="s">
        <v>579</v>
      </c>
      <c r="E210" s="27" t="s">
        <v>854</v>
      </c>
      <c r="F210" s="28" t="s">
        <v>54</v>
      </c>
      <c r="G210" s="45">
        <v>60.7</v>
      </c>
      <c r="H210" s="46">
        <v>28175</v>
      </c>
      <c r="I210" s="47">
        <f t="shared" si="8"/>
        <v>1710222.5</v>
      </c>
      <c r="J210" s="48" t="str">
        <f>IF(ABS(G210*H210-1710223)&lt;1,"✓ OK","⚠ ÉCART")</f>
        <v>✓ OK</v>
      </c>
    </row>
    <row r="211" spans="1:10" ht="15.75" customHeight="1" x14ac:dyDescent="0.25">
      <c r="A211" s="35" t="s">
        <v>855</v>
      </c>
      <c r="B211" s="17" t="s">
        <v>115</v>
      </c>
      <c r="C211" s="36" t="s">
        <v>578</v>
      </c>
      <c r="D211" s="37" t="s">
        <v>579</v>
      </c>
      <c r="E211" s="19" t="s">
        <v>827</v>
      </c>
      <c r="F211" s="20" t="s">
        <v>54</v>
      </c>
      <c r="G211" s="38">
        <v>210</v>
      </c>
      <c r="H211" s="39">
        <v>33925</v>
      </c>
      <c r="I211" s="40">
        <f t="shared" si="8"/>
        <v>7124250</v>
      </c>
      <c r="J211" s="41" t="str">
        <f>IF(ABS(G211*H211-7124250)&lt;1,"✓ OK","⚠ ÉCART")</f>
        <v>✓ OK</v>
      </c>
    </row>
    <row r="212" spans="1:10" ht="15.75" customHeight="1" x14ac:dyDescent="0.25">
      <c r="A212" s="42" t="s">
        <v>856</v>
      </c>
      <c r="B212" s="25" t="s">
        <v>115</v>
      </c>
      <c r="C212" s="43" t="s">
        <v>578</v>
      </c>
      <c r="D212" s="44" t="s">
        <v>579</v>
      </c>
      <c r="E212" s="27" t="s">
        <v>829</v>
      </c>
      <c r="F212" s="28" t="s">
        <v>112</v>
      </c>
      <c r="G212" s="45">
        <v>192.38</v>
      </c>
      <c r="H212" s="46">
        <v>5750</v>
      </c>
      <c r="I212" s="47">
        <f t="shared" si="8"/>
        <v>1106185</v>
      </c>
      <c r="J212" s="48" t="str">
        <f>IF(ABS(G212*H212-1106185)&lt;1,"✓ OK","⚠ ÉCART")</f>
        <v>✓ OK</v>
      </c>
    </row>
    <row r="213" spans="1:10" ht="19.5" customHeight="1" x14ac:dyDescent="0.25">
      <c r="A213" s="7" t="s">
        <v>857</v>
      </c>
      <c r="B213" s="7"/>
      <c r="C213" s="7"/>
      <c r="D213" s="7"/>
      <c r="E213" s="7"/>
      <c r="F213" s="7"/>
      <c r="G213" s="7"/>
      <c r="H213" s="7"/>
      <c r="I213" s="7"/>
      <c r="J213" s="7"/>
    </row>
    <row r="214" spans="1:10" ht="15.75" customHeight="1" x14ac:dyDescent="0.25">
      <c r="A214" s="42" t="s">
        <v>858</v>
      </c>
      <c r="B214" s="25" t="s">
        <v>411</v>
      </c>
      <c r="C214" s="43" t="s">
        <v>562</v>
      </c>
      <c r="D214" s="44" t="s">
        <v>562</v>
      </c>
      <c r="E214" s="27" t="s">
        <v>859</v>
      </c>
      <c r="F214" s="28" t="s">
        <v>40</v>
      </c>
      <c r="G214" s="45">
        <v>34</v>
      </c>
      <c r="H214" s="46">
        <v>264500</v>
      </c>
      <c r="I214" s="47">
        <f t="shared" ref="I214:I250" si="9">G214*H214</f>
        <v>8993000</v>
      </c>
      <c r="J214" s="48" t="str">
        <f>IF(ABS(G214*H214-8993000)&lt;1,"✓ OK","⚠ ÉCART")</f>
        <v>✓ OK</v>
      </c>
    </row>
    <row r="215" spans="1:10" ht="15.75" customHeight="1" x14ac:dyDescent="0.25">
      <c r="A215" s="35" t="s">
        <v>860</v>
      </c>
      <c r="B215" s="17" t="s">
        <v>411</v>
      </c>
      <c r="C215" s="36" t="s">
        <v>562</v>
      </c>
      <c r="D215" s="37" t="s">
        <v>562</v>
      </c>
      <c r="E215" s="19" t="s">
        <v>417</v>
      </c>
      <c r="F215" s="20" t="s">
        <v>142</v>
      </c>
      <c r="G215" s="38">
        <v>12</v>
      </c>
      <c r="H215" s="39">
        <v>517500</v>
      </c>
      <c r="I215" s="40">
        <f t="shared" si="9"/>
        <v>6210000</v>
      </c>
      <c r="J215" s="41" t="str">
        <f>IF(ABS(G215*H215-6210000)&lt;1,"✓ OK","⚠ ÉCART")</f>
        <v>✓ OK</v>
      </c>
    </row>
    <row r="216" spans="1:10" ht="15.75" customHeight="1" x14ac:dyDescent="0.25">
      <c r="A216" s="42" t="s">
        <v>861</v>
      </c>
      <c r="B216" s="25" t="s">
        <v>411</v>
      </c>
      <c r="C216" s="43" t="s">
        <v>562</v>
      </c>
      <c r="D216" s="44" t="s">
        <v>562</v>
      </c>
      <c r="E216" s="27" t="s">
        <v>862</v>
      </c>
      <c r="F216" s="28" t="s">
        <v>142</v>
      </c>
      <c r="G216" s="45">
        <v>32</v>
      </c>
      <c r="H216" s="46">
        <v>126500</v>
      </c>
      <c r="I216" s="47">
        <f t="shared" si="9"/>
        <v>4048000</v>
      </c>
      <c r="J216" s="48" t="str">
        <f>IF(ABS(G216*H216-4048000)&lt;1,"✓ OK","⚠ ÉCART")</f>
        <v>✓ OK</v>
      </c>
    </row>
    <row r="217" spans="1:10" ht="15.75" customHeight="1" x14ac:dyDescent="0.25">
      <c r="A217" s="35" t="s">
        <v>863</v>
      </c>
      <c r="B217" s="17" t="s">
        <v>411</v>
      </c>
      <c r="C217" s="36" t="s">
        <v>562</v>
      </c>
      <c r="D217" s="37" t="s">
        <v>562</v>
      </c>
      <c r="E217" s="19" t="s">
        <v>423</v>
      </c>
      <c r="F217" s="20" t="s">
        <v>142</v>
      </c>
      <c r="G217" s="38">
        <v>6</v>
      </c>
      <c r="H217" s="39">
        <v>109250</v>
      </c>
      <c r="I217" s="40">
        <f t="shared" si="9"/>
        <v>655500</v>
      </c>
      <c r="J217" s="41" t="str">
        <f>IF(ABS(G217*H217-655500)&lt;1,"✓ OK","⚠ ÉCART")</f>
        <v>✓ OK</v>
      </c>
    </row>
    <row r="218" spans="1:10" ht="15.75" customHeight="1" x14ac:dyDescent="0.25">
      <c r="A218" s="42" t="s">
        <v>864</v>
      </c>
      <c r="B218" s="25" t="s">
        <v>411</v>
      </c>
      <c r="C218" s="43" t="s">
        <v>562</v>
      </c>
      <c r="D218" s="44" t="s">
        <v>562</v>
      </c>
      <c r="E218" s="27" t="s">
        <v>426</v>
      </c>
      <c r="F218" s="28" t="s">
        <v>142</v>
      </c>
      <c r="G218" s="45">
        <v>5</v>
      </c>
      <c r="H218" s="46">
        <v>201250</v>
      </c>
      <c r="I218" s="47">
        <f t="shared" si="9"/>
        <v>1006250</v>
      </c>
      <c r="J218" s="48" t="str">
        <f>IF(ABS(G218*H218-1006250)&lt;1,"✓ OK","⚠ ÉCART")</f>
        <v>✓ OK</v>
      </c>
    </row>
    <row r="219" spans="1:10" ht="15.75" customHeight="1" x14ac:dyDescent="0.25">
      <c r="A219" s="35" t="s">
        <v>865</v>
      </c>
      <c r="B219" s="17" t="s">
        <v>411</v>
      </c>
      <c r="C219" s="36" t="s">
        <v>562</v>
      </c>
      <c r="D219" s="37" t="s">
        <v>562</v>
      </c>
      <c r="E219" s="19" t="s">
        <v>429</v>
      </c>
      <c r="F219" s="20" t="s">
        <v>142</v>
      </c>
      <c r="G219" s="38">
        <v>5</v>
      </c>
      <c r="H219" s="39">
        <v>247250</v>
      </c>
      <c r="I219" s="40">
        <f t="shared" si="9"/>
        <v>1236250</v>
      </c>
      <c r="J219" s="41" t="str">
        <f>IF(ABS(G219*H219-1236250)&lt;1,"✓ OK","⚠ ÉCART")</f>
        <v>✓ OK</v>
      </c>
    </row>
    <row r="220" spans="1:10" ht="15.75" customHeight="1" x14ac:dyDescent="0.25">
      <c r="A220" s="42" t="s">
        <v>866</v>
      </c>
      <c r="B220" s="25" t="s">
        <v>411</v>
      </c>
      <c r="C220" s="43" t="s">
        <v>562</v>
      </c>
      <c r="D220" s="44" t="s">
        <v>562</v>
      </c>
      <c r="E220" s="27" t="s">
        <v>432</v>
      </c>
      <c r="F220" s="28" t="s">
        <v>142</v>
      </c>
      <c r="G220" s="45">
        <v>2</v>
      </c>
      <c r="H220" s="46">
        <v>316250</v>
      </c>
      <c r="I220" s="47">
        <f t="shared" si="9"/>
        <v>632500</v>
      </c>
      <c r="J220" s="48" t="str">
        <f>IF(ABS(G220*H220-632500)&lt;1,"✓ OK","⚠ ÉCART")</f>
        <v>✓ OK</v>
      </c>
    </row>
    <row r="221" spans="1:10" ht="15.75" customHeight="1" x14ac:dyDescent="0.25">
      <c r="A221" s="35" t="s">
        <v>867</v>
      </c>
      <c r="B221" s="17" t="s">
        <v>411</v>
      </c>
      <c r="C221" s="36" t="s">
        <v>562</v>
      </c>
      <c r="D221" s="37" t="s">
        <v>562</v>
      </c>
      <c r="E221" s="19" t="s">
        <v>436</v>
      </c>
      <c r="F221" s="20" t="s">
        <v>112</v>
      </c>
      <c r="G221" s="38">
        <v>100</v>
      </c>
      <c r="H221" s="39">
        <v>4255</v>
      </c>
      <c r="I221" s="40">
        <f t="shared" si="9"/>
        <v>425500</v>
      </c>
      <c r="J221" s="41" t="str">
        <f>IF(ABS(G221*H221-425500)&lt;1,"✓ OK","⚠ ÉCART")</f>
        <v>✓ OK</v>
      </c>
    </row>
    <row r="222" spans="1:10" ht="15.75" customHeight="1" x14ac:dyDescent="0.25">
      <c r="A222" s="42" t="s">
        <v>868</v>
      </c>
      <c r="B222" s="25" t="s">
        <v>411</v>
      </c>
      <c r="C222" s="43" t="s">
        <v>562</v>
      </c>
      <c r="D222" s="44" t="s">
        <v>562</v>
      </c>
      <c r="E222" s="27" t="s">
        <v>440</v>
      </c>
      <c r="F222" s="28" t="s">
        <v>112</v>
      </c>
      <c r="G222" s="45">
        <v>100</v>
      </c>
      <c r="H222" s="46">
        <v>5635</v>
      </c>
      <c r="I222" s="47">
        <f t="shared" si="9"/>
        <v>563500</v>
      </c>
      <c r="J222" s="48" t="str">
        <f>IF(ABS(G222*H222-563500)&lt;1,"✓ OK","⚠ ÉCART")</f>
        <v>✓ OK</v>
      </c>
    </row>
    <row r="223" spans="1:10" ht="15.75" customHeight="1" x14ac:dyDescent="0.25">
      <c r="A223" s="35" t="s">
        <v>869</v>
      </c>
      <c r="B223" s="17" t="s">
        <v>411</v>
      </c>
      <c r="C223" s="36" t="s">
        <v>562</v>
      </c>
      <c r="D223" s="37" t="s">
        <v>562</v>
      </c>
      <c r="E223" s="19" t="s">
        <v>443</v>
      </c>
      <c r="F223" s="20" t="s">
        <v>112</v>
      </c>
      <c r="G223" s="38">
        <v>80</v>
      </c>
      <c r="H223" s="39">
        <v>5980</v>
      </c>
      <c r="I223" s="40">
        <f t="shared" si="9"/>
        <v>478400</v>
      </c>
      <c r="J223" s="41" t="str">
        <f>IF(ABS(G223*H223-478400)&lt;1,"✓ OK","⚠ ÉCART")</f>
        <v>✓ OK</v>
      </c>
    </row>
    <row r="224" spans="1:10" ht="15.75" customHeight="1" x14ac:dyDescent="0.25">
      <c r="A224" s="42" t="s">
        <v>870</v>
      </c>
      <c r="B224" s="25" t="s">
        <v>411</v>
      </c>
      <c r="C224" s="43" t="s">
        <v>562</v>
      </c>
      <c r="D224" s="44" t="s">
        <v>562</v>
      </c>
      <c r="E224" s="27" t="s">
        <v>446</v>
      </c>
      <c r="F224" s="28" t="s">
        <v>112</v>
      </c>
      <c r="G224" s="45">
        <v>90</v>
      </c>
      <c r="H224" s="46">
        <v>8050</v>
      </c>
      <c r="I224" s="47">
        <f t="shared" si="9"/>
        <v>724500</v>
      </c>
      <c r="J224" s="48" t="str">
        <f>IF(ABS(G224*H224-724500)&lt;1,"✓ OK","⚠ ÉCART")</f>
        <v>✓ OK</v>
      </c>
    </row>
    <row r="225" spans="1:10" ht="15.75" customHeight="1" x14ac:dyDescent="0.25">
      <c r="A225" s="35" t="s">
        <v>871</v>
      </c>
      <c r="B225" s="17" t="s">
        <v>411</v>
      </c>
      <c r="C225" s="36" t="s">
        <v>562</v>
      </c>
      <c r="D225" s="37" t="s">
        <v>562</v>
      </c>
      <c r="E225" s="19" t="s">
        <v>449</v>
      </c>
      <c r="F225" s="20" t="s">
        <v>112</v>
      </c>
      <c r="G225" s="38">
        <v>120</v>
      </c>
      <c r="H225" s="39">
        <v>9545</v>
      </c>
      <c r="I225" s="40">
        <f t="shared" si="9"/>
        <v>1145400</v>
      </c>
      <c r="J225" s="41" t="str">
        <f>IF(ABS(G225*H225-1145400)&lt;1,"✓ OK","⚠ ÉCART")</f>
        <v>✓ OK</v>
      </c>
    </row>
    <row r="226" spans="1:10" ht="15.75" customHeight="1" x14ac:dyDescent="0.25">
      <c r="A226" s="42" t="s">
        <v>872</v>
      </c>
      <c r="B226" s="25" t="s">
        <v>411</v>
      </c>
      <c r="C226" s="43" t="s">
        <v>562</v>
      </c>
      <c r="D226" s="44" t="s">
        <v>562</v>
      </c>
      <c r="E226" s="27" t="s">
        <v>452</v>
      </c>
      <c r="F226" s="28" t="s">
        <v>112</v>
      </c>
      <c r="G226" s="45">
        <v>400</v>
      </c>
      <c r="H226" s="46">
        <v>11224</v>
      </c>
      <c r="I226" s="47">
        <f t="shared" si="9"/>
        <v>4489600</v>
      </c>
      <c r="J226" s="48" t="str">
        <f>IF(ABS(G226*H226-4489600)&lt;1,"✓ OK","⚠ ÉCART")</f>
        <v>✓ OK</v>
      </c>
    </row>
    <row r="227" spans="1:10" ht="15.75" customHeight="1" x14ac:dyDescent="0.25">
      <c r="A227" s="35" t="s">
        <v>873</v>
      </c>
      <c r="B227" s="17" t="s">
        <v>411</v>
      </c>
      <c r="C227" s="36" t="s">
        <v>562</v>
      </c>
      <c r="D227" s="37" t="s">
        <v>562</v>
      </c>
      <c r="E227" s="19" t="s">
        <v>455</v>
      </c>
      <c r="F227" s="20" t="s">
        <v>112</v>
      </c>
      <c r="G227" s="38">
        <v>80</v>
      </c>
      <c r="H227" s="39">
        <v>13915</v>
      </c>
      <c r="I227" s="40">
        <f t="shared" si="9"/>
        <v>1113200</v>
      </c>
      <c r="J227" s="41" t="str">
        <f>IF(ABS(G227*H227-1113200)&lt;1,"✓ OK","⚠ ÉCART")</f>
        <v>✓ OK</v>
      </c>
    </row>
    <row r="228" spans="1:10" ht="15.75" customHeight="1" x14ac:dyDescent="0.25">
      <c r="A228" s="42" t="s">
        <v>874</v>
      </c>
      <c r="B228" s="25" t="s">
        <v>411</v>
      </c>
      <c r="C228" s="43" t="s">
        <v>562</v>
      </c>
      <c r="D228" s="44" t="s">
        <v>562</v>
      </c>
      <c r="E228" s="27" t="s">
        <v>458</v>
      </c>
      <c r="F228" s="28" t="s">
        <v>112</v>
      </c>
      <c r="G228" s="45">
        <v>25</v>
      </c>
      <c r="H228" s="46">
        <v>21327</v>
      </c>
      <c r="I228" s="47">
        <f t="shared" si="9"/>
        <v>533175</v>
      </c>
      <c r="J228" s="48" t="str">
        <f>IF(ABS(G228*H228-533175)&lt;1,"✓ OK","⚠ ÉCART")</f>
        <v>✓ OK</v>
      </c>
    </row>
    <row r="229" spans="1:10" ht="15.75" customHeight="1" x14ac:dyDescent="0.25">
      <c r="A229" s="35" t="s">
        <v>875</v>
      </c>
      <c r="B229" s="17" t="s">
        <v>411</v>
      </c>
      <c r="C229" s="36" t="s">
        <v>562</v>
      </c>
      <c r="D229" s="37" t="s">
        <v>562</v>
      </c>
      <c r="E229" s="19" t="s">
        <v>461</v>
      </c>
      <c r="F229" s="20" t="s">
        <v>112</v>
      </c>
      <c r="G229" s="38">
        <v>10</v>
      </c>
      <c r="H229" s="39">
        <v>23575</v>
      </c>
      <c r="I229" s="40">
        <f t="shared" si="9"/>
        <v>235750</v>
      </c>
      <c r="J229" s="41" t="str">
        <f>IF(ABS(G229*H229-235750)&lt;1,"✓ OK","⚠ ÉCART")</f>
        <v>✓ OK</v>
      </c>
    </row>
    <row r="230" spans="1:10" ht="15.75" customHeight="1" x14ac:dyDescent="0.25">
      <c r="A230" s="42" t="s">
        <v>876</v>
      </c>
      <c r="B230" s="25" t="s">
        <v>411</v>
      </c>
      <c r="C230" s="43" t="s">
        <v>562</v>
      </c>
      <c r="D230" s="44" t="s">
        <v>562</v>
      </c>
      <c r="E230" s="27" t="s">
        <v>465</v>
      </c>
      <c r="F230" s="28" t="s">
        <v>112</v>
      </c>
      <c r="G230" s="45">
        <v>50</v>
      </c>
      <c r="H230" s="46">
        <v>5980</v>
      </c>
      <c r="I230" s="47">
        <f t="shared" si="9"/>
        <v>299000</v>
      </c>
      <c r="J230" s="48" t="str">
        <f>IF(ABS(G230*H230-299000)&lt;1,"✓ OK","⚠ ÉCART")</f>
        <v>✓ OK</v>
      </c>
    </row>
    <row r="231" spans="1:10" ht="15.75" customHeight="1" x14ac:dyDescent="0.25">
      <c r="A231" s="35" t="s">
        <v>877</v>
      </c>
      <c r="B231" s="17" t="s">
        <v>411</v>
      </c>
      <c r="C231" s="36" t="s">
        <v>562</v>
      </c>
      <c r="D231" s="37" t="s">
        <v>562</v>
      </c>
      <c r="E231" s="19" t="s">
        <v>469</v>
      </c>
      <c r="F231" s="20" t="s">
        <v>112</v>
      </c>
      <c r="G231" s="38">
        <v>50</v>
      </c>
      <c r="H231" s="39">
        <v>5405</v>
      </c>
      <c r="I231" s="40">
        <f t="shared" si="9"/>
        <v>270250</v>
      </c>
      <c r="J231" s="41" t="str">
        <f>IF(ABS(G231*H231-270250)&lt;1,"✓ OK","⚠ ÉCART")</f>
        <v>✓ OK</v>
      </c>
    </row>
    <row r="232" spans="1:10" ht="15.75" customHeight="1" x14ac:dyDescent="0.25">
      <c r="A232" s="42" t="s">
        <v>878</v>
      </c>
      <c r="B232" s="25" t="s">
        <v>411</v>
      </c>
      <c r="C232" s="43" t="s">
        <v>562</v>
      </c>
      <c r="D232" s="44" t="s">
        <v>562</v>
      </c>
      <c r="E232" s="27" t="s">
        <v>472</v>
      </c>
      <c r="F232" s="28" t="s">
        <v>112</v>
      </c>
      <c r="G232" s="45">
        <v>150</v>
      </c>
      <c r="H232" s="46">
        <v>4830</v>
      </c>
      <c r="I232" s="47">
        <f t="shared" si="9"/>
        <v>724500</v>
      </c>
      <c r="J232" s="48" t="str">
        <f>IF(ABS(G232*H232-724500)&lt;1,"✓ OK","⚠ ÉCART")</f>
        <v>✓ OK</v>
      </c>
    </row>
    <row r="233" spans="1:10" ht="15.75" customHeight="1" x14ac:dyDescent="0.25">
      <c r="A233" s="35" t="s">
        <v>879</v>
      </c>
      <c r="B233" s="17" t="s">
        <v>411</v>
      </c>
      <c r="C233" s="36" t="s">
        <v>562</v>
      </c>
      <c r="D233" s="37" t="s">
        <v>562</v>
      </c>
      <c r="E233" s="19" t="s">
        <v>475</v>
      </c>
      <c r="F233" s="20" t="s">
        <v>112</v>
      </c>
      <c r="G233" s="38">
        <v>40</v>
      </c>
      <c r="H233" s="39">
        <v>4255</v>
      </c>
      <c r="I233" s="40">
        <f t="shared" si="9"/>
        <v>170200</v>
      </c>
      <c r="J233" s="41" t="str">
        <f>IF(ABS(G233*H233-170200)&lt;1,"✓ OK","⚠ ÉCART")</f>
        <v>✓ OK</v>
      </c>
    </row>
    <row r="234" spans="1:10" ht="15.75" customHeight="1" x14ac:dyDescent="0.25">
      <c r="A234" s="42" t="s">
        <v>880</v>
      </c>
      <c r="B234" s="25" t="s">
        <v>411</v>
      </c>
      <c r="C234" s="43" t="s">
        <v>562</v>
      </c>
      <c r="D234" s="44" t="s">
        <v>562</v>
      </c>
      <c r="E234" s="27" t="s">
        <v>478</v>
      </c>
      <c r="F234" s="28" t="s">
        <v>112</v>
      </c>
      <c r="G234" s="45">
        <v>150</v>
      </c>
      <c r="H234" s="46">
        <v>3450</v>
      </c>
      <c r="I234" s="47">
        <f t="shared" si="9"/>
        <v>517500</v>
      </c>
      <c r="J234" s="48" t="str">
        <f>IF(ABS(G234*H234-517500)&lt;1,"✓ OK","⚠ ÉCART")</f>
        <v>✓ OK</v>
      </c>
    </row>
    <row r="235" spans="1:10" ht="15.75" customHeight="1" x14ac:dyDescent="0.25">
      <c r="A235" s="35" t="s">
        <v>881</v>
      </c>
      <c r="B235" s="17" t="s">
        <v>411</v>
      </c>
      <c r="C235" s="36" t="s">
        <v>562</v>
      </c>
      <c r="D235" s="37" t="s">
        <v>562</v>
      </c>
      <c r="E235" s="19" t="s">
        <v>482</v>
      </c>
      <c r="F235" s="20" t="s">
        <v>112</v>
      </c>
      <c r="G235" s="38">
        <v>150</v>
      </c>
      <c r="H235" s="39">
        <v>4255</v>
      </c>
      <c r="I235" s="40">
        <f t="shared" si="9"/>
        <v>638250</v>
      </c>
      <c r="J235" s="41" t="str">
        <f>IF(ABS(G235*H235-638250)&lt;1,"✓ OK","⚠ ÉCART")</f>
        <v>✓ OK</v>
      </c>
    </row>
    <row r="236" spans="1:10" ht="15.75" customHeight="1" x14ac:dyDescent="0.25">
      <c r="A236" s="42" t="s">
        <v>882</v>
      </c>
      <c r="B236" s="25" t="s">
        <v>411</v>
      </c>
      <c r="C236" s="43" t="s">
        <v>562</v>
      </c>
      <c r="D236" s="44" t="s">
        <v>562</v>
      </c>
      <c r="E236" s="27" t="s">
        <v>485</v>
      </c>
      <c r="F236" s="28" t="s">
        <v>112</v>
      </c>
      <c r="G236" s="45">
        <v>60</v>
      </c>
      <c r="H236" s="46">
        <v>4830</v>
      </c>
      <c r="I236" s="47">
        <f t="shared" si="9"/>
        <v>289800</v>
      </c>
      <c r="J236" s="48" t="str">
        <f>IF(ABS(G236*H236-289800)&lt;1,"✓ OK","⚠ ÉCART")</f>
        <v>✓ OK</v>
      </c>
    </row>
    <row r="237" spans="1:10" ht="15.75" customHeight="1" x14ac:dyDescent="0.25">
      <c r="A237" s="35" t="s">
        <v>883</v>
      </c>
      <c r="B237" s="17" t="s">
        <v>411</v>
      </c>
      <c r="C237" s="36" t="s">
        <v>562</v>
      </c>
      <c r="D237" s="37" t="s">
        <v>562</v>
      </c>
      <c r="E237" s="19" t="s">
        <v>488</v>
      </c>
      <c r="F237" s="20" t="s">
        <v>112</v>
      </c>
      <c r="G237" s="38">
        <v>60</v>
      </c>
      <c r="H237" s="39">
        <v>7475</v>
      </c>
      <c r="I237" s="40">
        <f t="shared" si="9"/>
        <v>448500</v>
      </c>
      <c r="J237" s="41" t="str">
        <f>IF(ABS(G237*H237-448500)&lt;1,"✓ OK","⚠ ÉCART")</f>
        <v>✓ OK</v>
      </c>
    </row>
    <row r="238" spans="1:10" ht="15.75" customHeight="1" x14ac:dyDescent="0.25">
      <c r="A238" s="42" t="s">
        <v>884</v>
      </c>
      <c r="B238" s="25" t="s">
        <v>411</v>
      </c>
      <c r="C238" s="43" t="s">
        <v>562</v>
      </c>
      <c r="D238" s="44" t="s">
        <v>562</v>
      </c>
      <c r="E238" s="27" t="s">
        <v>885</v>
      </c>
      <c r="F238" s="28" t="s">
        <v>142</v>
      </c>
      <c r="G238" s="45">
        <v>35</v>
      </c>
      <c r="H238" s="46">
        <v>50600</v>
      </c>
      <c r="I238" s="47">
        <f t="shared" si="9"/>
        <v>1771000</v>
      </c>
      <c r="J238" s="48" t="str">
        <f>IF(ABS(G238*H238-1771000)&lt;1,"✓ OK","⚠ ÉCART")</f>
        <v>✓ OK</v>
      </c>
    </row>
    <row r="239" spans="1:10" ht="15.75" customHeight="1" x14ac:dyDescent="0.25">
      <c r="A239" s="35" t="s">
        <v>886</v>
      </c>
      <c r="B239" s="17" t="s">
        <v>411</v>
      </c>
      <c r="C239" s="36" t="s">
        <v>562</v>
      </c>
      <c r="D239" s="37" t="s">
        <v>562</v>
      </c>
      <c r="E239" s="19" t="s">
        <v>494</v>
      </c>
      <c r="F239" s="20" t="s">
        <v>16</v>
      </c>
      <c r="G239" s="38">
        <v>1</v>
      </c>
      <c r="H239" s="39">
        <v>1725000</v>
      </c>
      <c r="I239" s="40">
        <f t="shared" si="9"/>
        <v>1725000</v>
      </c>
      <c r="J239" s="41" t="str">
        <f>IF(ABS(G239*H239-1725000)&lt;1,"✓ OK","⚠ ÉCART")</f>
        <v>✓ OK</v>
      </c>
    </row>
    <row r="240" spans="1:10" ht="15.75" customHeight="1" x14ac:dyDescent="0.25">
      <c r="A240" s="42" t="s">
        <v>887</v>
      </c>
      <c r="B240" s="25" t="s">
        <v>411</v>
      </c>
      <c r="C240" s="43" t="s">
        <v>562</v>
      </c>
      <c r="D240" s="44" t="s">
        <v>562</v>
      </c>
      <c r="E240" s="27" t="s">
        <v>888</v>
      </c>
      <c r="F240" s="28" t="s">
        <v>16</v>
      </c>
      <c r="G240" s="45">
        <v>1</v>
      </c>
      <c r="H240" s="46">
        <v>402500</v>
      </c>
      <c r="I240" s="47">
        <f t="shared" si="9"/>
        <v>402500</v>
      </c>
      <c r="J240" s="48" t="str">
        <f>IF(ABS(G240*H240-402500)&lt;1,"✓ OK","⚠ ÉCART")</f>
        <v>✓ OK</v>
      </c>
    </row>
    <row r="241" spans="1:10" ht="15.75" customHeight="1" x14ac:dyDescent="0.25">
      <c r="A241" s="35" t="s">
        <v>889</v>
      </c>
      <c r="B241" s="17" t="s">
        <v>411</v>
      </c>
      <c r="C241" s="36" t="s">
        <v>562</v>
      </c>
      <c r="D241" s="37" t="s">
        <v>562</v>
      </c>
      <c r="E241" s="19" t="s">
        <v>498</v>
      </c>
      <c r="F241" s="20" t="s">
        <v>142</v>
      </c>
      <c r="G241" s="38">
        <v>5</v>
      </c>
      <c r="H241" s="39">
        <v>402500</v>
      </c>
      <c r="I241" s="40">
        <f t="shared" si="9"/>
        <v>2012500</v>
      </c>
      <c r="J241" s="41" t="str">
        <f>IF(ABS(G241*H241-2012500)&lt;1,"✓ OK","⚠ ÉCART")</f>
        <v>✓ OK</v>
      </c>
    </row>
    <row r="242" spans="1:10" ht="15.75" customHeight="1" x14ac:dyDescent="0.25">
      <c r="A242" s="42" t="s">
        <v>890</v>
      </c>
      <c r="B242" s="25" t="s">
        <v>411</v>
      </c>
      <c r="C242" s="43" t="s">
        <v>562</v>
      </c>
      <c r="D242" s="44" t="s">
        <v>562</v>
      </c>
      <c r="E242" s="27" t="s">
        <v>502</v>
      </c>
      <c r="F242" s="28" t="s">
        <v>142</v>
      </c>
      <c r="G242" s="45">
        <v>15</v>
      </c>
      <c r="H242" s="46">
        <v>11500</v>
      </c>
      <c r="I242" s="47">
        <f t="shared" si="9"/>
        <v>172500</v>
      </c>
      <c r="J242" s="48" t="str">
        <f>IF(ABS(G242*H242-172500)&lt;1,"✓ OK","⚠ ÉCART")</f>
        <v>✓ OK</v>
      </c>
    </row>
    <row r="243" spans="1:10" ht="15.75" customHeight="1" x14ac:dyDescent="0.25">
      <c r="A243" s="35" t="s">
        <v>891</v>
      </c>
      <c r="B243" s="17" t="s">
        <v>411</v>
      </c>
      <c r="C243" s="36" t="s">
        <v>562</v>
      </c>
      <c r="D243" s="37" t="s">
        <v>562</v>
      </c>
      <c r="E243" s="19" t="s">
        <v>892</v>
      </c>
      <c r="F243" s="20" t="s">
        <v>16</v>
      </c>
      <c r="G243" s="38">
        <v>1</v>
      </c>
      <c r="H243" s="39">
        <v>862500</v>
      </c>
      <c r="I243" s="40">
        <f t="shared" si="9"/>
        <v>862500</v>
      </c>
      <c r="J243" s="41" t="str">
        <f>IF(ABS(G243*H243-862500)&lt;1,"✓ OK","⚠ ÉCART")</f>
        <v>✓ OK</v>
      </c>
    </row>
    <row r="244" spans="1:10" ht="15.75" customHeight="1" x14ac:dyDescent="0.25">
      <c r="A244" s="42" t="s">
        <v>893</v>
      </c>
      <c r="B244" s="25" t="s">
        <v>411</v>
      </c>
      <c r="C244" s="43" t="s">
        <v>562</v>
      </c>
      <c r="D244" s="44" t="s">
        <v>562</v>
      </c>
      <c r="E244" s="27" t="s">
        <v>894</v>
      </c>
      <c r="F244" s="28" t="s">
        <v>142</v>
      </c>
      <c r="G244" s="45">
        <v>1</v>
      </c>
      <c r="H244" s="46">
        <v>575000</v>
      </c>
      <c r="I244" s="47">
        <f t="shared" si="9"/>
        <v>575000</v>
      </c>
      <c r="J244" s="48" t="str">
        <f>IF(ABS(G244*H244-575000)&lt;1,"✓ OK","⚠ ÉCART")</f>
        <v>✓ OK</v>
      </c>
    </row>
    <row r="245" spans="1:10" ht="15.75" customHeight="1" x14ac:dyDescent="0.25">
      <c r="A245" s="35" t="s">
        <v>895</v>
      </c>
      <c r="B245" s="17" t="s">
        <v>411</v>
      </c>
      <c r="C245" s="36" t="s">
        <v>562</v>
      </c>
      <c r="D245" s="37" t="s">
        <v>562</v>
      </c>
      <c r="E245" s="19" t="s">
        <v>896</v>
      </c>
      <c r="F245" s="20" t="s">
        <v>142</v>
      </c>
      <c r="G245" s="38">
        <v>1</v>
      </c>
      <c r="H245" s="39">
        <v>402500</v>
      </c>
      <c r="I245" s="40">
        <f t="shared" si="9"/>
        <v>402500</v>
      </c>
      <c r="J245" s="41" t="str">
        <f>IF(ABS(G245*H245-402500)&lt;1,"✓ OK","⚠ ÉCART")</f>
        <v>✓ OK</v>
      </c>
    </row>
    <row r="246" spans="1:10" ht="15.75" customHeight="1" x14ac:dyDescent="0.25">
      <c r="A246" s="42" t="s">
        <v>897</v>
      </c>
      <c r="B246" s="25" t="s">
        <v>411</v>
      </c>
      <c r="C246" s="43" t="s">
        <v>562</v>
      </c>
      <c r="D246" s="44" t="s">
        <v>562</v>
      </c>
      <c r="E246" s="27" t="s">
        <v>898</v>
      </c>
      <c r="F246" s="28" t="s">
        <v>142</v>
      </c>
      <c r="G246" s="45">
        <v>6</v>
      </c>
      <c r="H246" s="46">
        <v>26450</v>
      </c>
      <c r="I246" s="47">
        <f t="shared" si="9"/>
        <v>158700</v>
      </c>
      <c r="J246" s="48" t="str">
        <f>IF(ABS(G246*H246-158700)&lt;1,"✓ OK","⚠ ÉCART")</f>
        <v>✓ OK</v>
      </c>
    </row>
    <row r="247" spans="1:10" ht="15.75" customHeight="1" x14ac:dyDescent="0.25">
      <c r="A247" s="35" t="s">
        <v>899</v>
      </c>
      <c r="B247" s="17" t="s">
        <v>411</v>
      </c>
      <c r="C247" s="36" t="s">
        <v>562</v>
      </c>
      <c r="D247" s="37" t="s">
        <v>562</v>
      </c>
      <c r="E247" s="19" t="s">
        <v>900</v>
      </c>
      <c r="F247" s="20" t="s">
        <v>142</v>
      </c>
      <c r="G247" s="38">
        <v>5</v>
      </c>
      <c r="H247" s="39">
        <v>28750</v>
      </c>
      <c r="I247" s="40">
        <f t="shared" si="9"/>
        <v>143750</v>
      </c>
      <c r="J247" s="41" t="str">
        <f>IF(ABS(G247*H247-143750)&lt;1,"✓ OK","⚠ ÉCART")</f>
        <v>✓ OK</v>
      </c>
    </row>
    <row r="248" spans="1:10" ht="15.75" customHeight="1" x14ac:dyDescent="0.25">
      <c r="A248" s="42" t="s">
        <v>901</v>
      </c>
      <c r="B248" s="25" t="s">
        <v>411</v>
      </c>
      <c r="C248" s="43" t="s">
        <v>562</v>
      </c>
      <c r="D248" s="44" t="s">
        <v>562</v>
      </c>
      <c r="E248" s="27" t="s">
        <v>902</v>
      </c>
      <c r="F248" s="28" t="s">
        <v>112</v>
      </c>
      <c r="G248" s="45">
        <v>50</v>
      </c>
      <c r="H248" s="46">
        <v>14375</v>
      </c>
      <c r="I248" s="47">
        <f t="shared" si="9"/>
        <v>718750</v>
      </c>
      <c r="J248" s="48" t="str">
        <f>IF(ABS(G248*H248-718750)&lt;1,"✓ OK","⚠ ÉCART")</f>
        <v>✓ OK</v>
      </c>
    </row>
    <row r="249" spans="1:10" ht="15.75" customHeight="1" x14ac:dyDescent="0.25">
      <c r="A249" s="35" t="s">
        <v>903</v>
      </c>
      <c r="B249" s="17" t="s">
        <v>411</v>
      </c>
      <c r="C249" s="36" t="s">
        <v>562</v>
      </c>
      <c r="D249" s="37" t="s">
        <v>562</v>
      </c>
      <c r="E249" s="19" t="s">
        <v>904</v>
      </c>
      <c r="F249" s="20" t="s">
        <v>112</v>
      </c>
      <c r="G249" s="38">
        <v>80</v>
      </c>
      <c r="H249" s="39">
        <v>19550</v>
      </c>
      <c r="I249" s="40">
        <f t="shared" si="9"/>
        <v>1564000</v>
      </c>
      <c r="J249" s="41" t="str">
        <f>IF(ABS(G249*H249-1564000)&lt;1,"✓ OK","⚠ ÉCART")</f>
        <v>✓ OK</v>
      </c>
    </row>
    <row r="250" spans="1:10" ht="15.75" customHeight="1" x14ac:dyDescent="0.25">
      <c r="A250" s="42" t="s">
        <v>905</v>
      </c>
      <c r="B250" s="25" t="s">
        <v>411</v>
      </c>
      <c r="C250" s="43" t="s">
        <v>562</v>
      </c>
      <c r="D250" s="44" t="s">
        <v>562</v>
      </c>
      <c r="E250" s="27" t="s">
        <v>906</v>
      </c>
      <c r="F250" s="28" t="s">
        <v>112</v>
      </c>
      <c r="G250" s="45">
        <v>30</v>
      </c>
      <c r="H250" s="46">
        <v>29210</v>
      </c>
      <c r="I250" s="47">
        <f t="shared" si="9"/>
        <v>876300</v>
      </c>
      <c r="J250" s="48" t="str">
        <f>IF(ABS(G250*H250-876300)&lt;1,"✓ OK","⚠ ÉCART")</f>
        <v>✓ OK</v>
      </c>
    </row>
    <row r="251" spans="1:10" ht="19.5" customHeight="1" x14ac:dyDescent="0.25">
      <c r="A251" s="7" t="s">
        <v>907</v>
      </c>
      <c r="B251" s="7"/>
      <c r="C251" s="7"/>
      <c r="D251" s="7"/>
      <c r="E251" s="7"/>
      <c r="F251" s="7"/>
      <c r="G251" s="7"/>
      <c r="H251" s="7"/>
      <c r="I251" s="7"/>
      <c r="J251" s="7"/>
    </row>
    <row r="252" spans="1:10" ht="15.75" customHeight="1" x14ac:dyDescent="0.25">
      <c r="A252" s="42" t="s">
        <v>908</v>
      </c>
      <c r="B252" s="25" t="s">
        <v>542</v>
      </c>
      <c r="C252" s="43" t="s">
        <v>574</v>
      </c>
      <c r="D252" s="44" t="s">
        <v>575</v>
      </c>
      <c r="E252" s="27" t="s">
        <v>909</v>
      </c>
      <c r="F252" s="28" t="s">
        <v>54</v>
      </c>
      <c r="G252" s="45">
        <v>1701</v>
      </c>
      <c r="H252" s="46">
        <v>575</v>
      </c>
      <c r="I252" s="47">
        <f t="shared" ref="I252:I271" si="10">G252*H252</f>
        <v>978075</v>
      </c>
      <c r="J252" s="48" t="str">
        <f>IF(ABS(G252*H252-978075)&lt;1,"✓ OK","⚠ ÉCART")</f>
        <v>✓ OK</v>
      </c>
    </row>
    <row r="253" spans="1:10" ht="15.75" customHeight="1" x14ac:dyDescent="0.25">
      <c r="A253" s="35" t="s">
        <v>910</v>
      </c>
      <c r="B253" s="17" t="s">
        <v>542</v>
      </c>
      <c r="C253" s="36" t="s">
        <v>574</v>
      </c>
      <c r="D253" s="37" t="s">
        <v>575</v>
      </c>
      <c r="E253" s="19" t="s">
        <v>911</v>
      </c>
      <c r="F253" s="20" t="s">
        <v>54</v>
      </c>
      <c r="G253" s="38">
        <v>1701</v>
      </c>
      <c r="H253" s="39">
        <v>6325</v>
      </c>
      <c r="I253" s="40">
        <f t="shared" si="10"/>
        <v>10758825</v>
      </c>
      <c r="J253" s="41" t="str">
        <f>IF(ABS(G253*H253-10758825)&lt;1,"✓ OK","⚠ ÉCART")</f>
        <v>✓ OK</v>
      </c>
    </row>
    <row r="254" spans="1:10" ht="15.75" customHeight="1" x14ac:dyDescent="0.25">
      <c r="A254" s="42" t="s">
        <v>912</v>
      </c>
      <c r="B254" s="25" t="s">
        <v>542</v>
      </c>
      <c r="C254" s="43" t="s">
        <v>574</v>
      </c>
      <c r="D254" s="44" t="s">
        <v>575</v>
      </c>
      <c r="E254" s="27" t="s">
        <v>913</v>
      </c>
      <c r="F254" s="28" t="s">
        <v>54</v>
      </c>
      <c r="G254" s="45">
        <v>210</v>
      </c>
      <c r="H254" s="46">
        <v>575</v>
      </c>
      <c r="I254" s="47">
        <f t="shared" si="10"/>
        <v>120750</v>
      </c>
      <c r="J254" s="48" t="str">
        <f>IF(ABS(G254*H254-120750)&lt;1,"✓ OK","⚠ ÉCART")</f>
        <v>✓ OK</v>
      </c>
    </row>
    <row r="255" spans="1:10" ht="15.75" customHeight="1" x14ac:dyDescent="0.25">
      <c r="A255" s="35" t="s">
        <v>914</v>
      </c>
      <c r="B255" s="17" t="s">
        <v>542</v>
      </c>
      <c r="C255" s="36" t="s">
        <v>574</v>
      </c>
      <c r="D255" s="37" t="s">
        <v>575</v>
      </c>
      <c r="E255" s="19" t="s">
        <v>915</v>
      </c>
      <c r="F255" s="20" t="s">
        <v>54</v>
      </c>
      <c r="G255" s="38">
        <v>210</v>
      </c>
      <c r="H255" s="39">
        <v>6325</v>
      </c>
      <c r="I255" s="40">
        <f t="shared" si="10"/>
        <v>1328250</v>
      </c>
      <c r="J255" s="41" t="str">
        <f>IF(ABS(G255*H255-1328250)&lt;1,"✓ OK","⚠ ÉCART")</f>
        <v>✓ OK</v>
      </c>
    </row>
    <row r="256" spans="1:10" ht="15.75" customHeight="1" x14ac:dyDescent="0.25">
      <c r="A256" s="42" t="s">
        <v>916</v>
      </c>
      <c r="B256" s="25" t="s">
        <v>542</v>
      </c>
      <c r="C256" s="43" t="s">
        <v>574</v>
      </c>
      <c r="D256" s="44" t="s">
        <v>579</v>
      </c>
      <c r="E256" s="27" t="s">
        <v>917</v>
      </c>
      <c r="F256" s="28" t="s">
        <v>54</v>
      </c>
      <c r="G256" s="45">
        <v>1649</v>
      </c>
      <c r="H256" s="46">
        <v>575</v>
      </c>
      <c r="I256" s="47">
        <f t="shared" si="10"/>
        <v>948175</v>
      </c>
      <c r="J256" s="48" t="str">
        <f>IF(ABS(G256*H256-948175)&lt;1,"✓ OK","⚠ ÉCART")</f>
        <v>✓ OK</v>
      </c>
    </row>
    <row r="257" spans="1:10" ht="15.75" customHeight="1" x14ac:dyDescent="0.25">
      <c r="A257" s="35" t="s">
        <v>918</v>
      </c>
      <c r="B257" s="17" t="s">
        <v>542</v>
      </c>
      <c r="C257" s="36" t="s">
        <v>574</v>
      </c>
      <c r="D257" s="37" t="s">
        <v>579</v>
      </c>
      <c r="E257" s="19" t="s">
        <v>919</v>
      </c>
      <c r="F257" s="20" t="s">
        <v>54</v>
      </c>
      <c r="G257" s="38">
        <v>1649</v>
      </c>
      <c r="H257" s="39">
        <v>6325</v>
      </c>
      <c r="I257" s="40">
        <f t="shared" si="10"/>
        <v>10429925</v>
      </c>
      <c r="J257" s="41" t="str">
        <f>IF(ABS(G257*H257-10429925)&lt;1,"✓ OK","⚠ ÉCART")</f>
        <v>✓ OK</v>
      </c>
    </row>
    <row r="258" spans="1:10" ht="15.75" customHeight="1" x14ac:dyDescent="0.25">
      <c r="A258" s="42" t="s">
        <v>920</v>
      </c>
      <c r="B258" s="25" t="s">
        <v>542</v>
      </c>
      <c r="C258" s="43" t="s">
        <v>574</v>
      </c>
      <c r="D258" s="44" t="s">
        <v>579</v>
      </c>
      <c r="E258" s="27" t="s">
        <v>921</v>
      </c>
      <c r="F258" s="28" t="s">
        <v>54</v>
      </c>
      <c r="G258" s="45">
        <v>804</v>
      </c>
      <c r="H258" s="46">
        <v>575</v>
      </c>
      <c r="I258" s="47">
        <f t="shared" si="10"/>
        <v>462300</v>
      </c>
      <c r="J258" s="48" t="str">
        <f>IF(ABS(G258*H258-462300)&lt;1,"✓ OK","⚠ ÉCART")</f>
        <v>✓ OK</v>
      </c>
    </row>
    <row r="259" spans="1:10" ht="15.75" customHeight="1" x14ac:dyDescent="0.25">
      <c r="A259" s="35" t="s">
        <v>922</v>
      </c>
      <c r="B259" s="17" t="s">
        <v>542</v>
      </c>
      <c r="C259" s="36" t="s">
        <v>574</v>
      </c>
      <c r="D259" s="37" t="s">
        <v>579</v>
      </c>
      <c r="E259" s="19" t="s">
        <v>923</v>
      </c>
      <c r="F259" s="20" t="s">
        <v>54</v>
      </c>
      <c r="G259" s="38">
        <v>804</v>
      </c>
      <c r="H259" s="39">
        <v>6325</v>
      </c>
      <c r="I259" s="40">
        <f t="shared" si="10"/>
        <v>5085300</v>
      </c>
      <c r="J259" s="41" t="str">
        <f>IF(ABS(G259*H259-5085300)&lt;1,"✓ OK","⚠ ÉCART")</f>
        <v>✓ OK</v>
      </c>
    </row>
    <row r="260" spans="1:10" ht="15.75" customHeight="1" x14ac:dyDescent="0.25">
      <c r="A260" s="42" t="s">
        <v>924</v>
      </c>
      <c r="B260" s="25" t="s">
        <v>542</v>
      </c>
      <c r="C260" s="43" t="s">
        <v>574</v>
      </c>
      <c r="D260" s="44" t="s">
        <v>582</v>
      </c>
      <c r="E260" s="27" t="s">
        <v>925</v>
      </c>
      <c r="F260" s="28" t="s">
        <v>54</v>
      </c>
      <c r="G260" s="45">
        <v>1199</v>
      </c>
      <c r="H260" s="46">
        <v>575</v>
      </c>
      <c r="I260" s="47">
        <f t="shared" si="10"/>
        <v>689425</v>
      </c>
      <c r="J260" s="48" t="str">
        <f>IF(ABS(G260*H260-689425)&lt;1,"✓ OK","⚠ ÉCART")</f>
        <v>✓ OK</v>
      </c>
    </row>
    <row r="261" spans="1:10" ht="15.75" customHeight="1" x14ac:dyDescent="0.25">
      <c r="A261" s="35" t="s">
        <v>926</v>
      </c>
      <c r="B261" s="17" t="s">
        <v>542</v>
      </c>
      <c r="C261" s="36" t="s">
        <v>574</v>
      </c>
      <c r="D261" s="37" t="s">
        <v>582</v>
      </c>
      <c r="E261" s="19" t="s">
        <v>927</v>
      </c>
      <c r="F261" s="20" t="s">
        <v>54</v>
      </c>
      <c r="G261" s="38">
        <v>1199</v>
      </c>
      <c r="H261" s="39">
        <v>6325</v>
      </c>
      <c r="I261" s="40">
        <f t="shared" si="10"/>
        <v>7583675</v>
      </c>
      <c r="J261" s="41" t="str">
        <f>IF(ABS(G261*H261-7583675)&lt;1,"✓ OK","⚠ ÉCART")</f>
        <v>✓ OK</v>
      </c>
    </row>
    <row r="262" spans="1:10" ht="15.75" customHeight="1" x14ac:dyDescent="0.25">
      <c r="A262" s="42" t="s">
        <v>928</v>
      </c>
      <c r="B262" s="25" t="s">
        <v>542</v>
      </c>
      <c r="C262" s="43" t="s">
        <v>574</v>
      </c>
      <c r="D262" s="44" t="s">
        <v>582</v>
      </c>
      <c r="E262" s="27" t="s">
        <v>929</v>
      </c>
      <c r="F262" s="28" t="s">
        <v>54</v>
      </c>
      <c r="G262" s="45">
        <v>557</v>
      </c>
      <c r="H262" s="46">
        <v>575</v>
      </c>
      <c r="I262" s="47">
        <f t="shared" si="10"/>
        <v>320275</v>
      </c>
      <c r="J262" s="48" t="str">
        <f>IF(ABS(G262*H262-320275)&lt;1,"✓ OK","⚠ ÉCART")</f>
        <v>✓ OK</v>
      </c>
    </row>
    <row r="263" spans="1:10" ht="15.75" customHeight="1" x14ac:dyDescent="0.25">
      <c r="A263" s="35" t="s">
        <v>930</v>
      </c>
      <c r="B263" s="17" t="s">
        <v>542</v>
      </c>
      <c r="C263" s="36" t="s">
        <v>574</v>
      </c>
      <c r="D263" s="37" t="s">
        <v>582</v>
      </c>
      <c r="E263" s="19" t="s">
        <v>931</v>
      </c>
      <c r="F263" s="20" t="s">
        <v>54</v>
      </c>
      <c r="G263" s="38">
        <v>557</v>
      </c>
      <c r="H263" s="39">
        <v>6325</v>
      </c>
      <c r="I263" s="40">
        <f t="shared" si="10"/>
        <v>3523025</v>
      </c>
      <c r="J263" s="41" t="str">
        <f>IF(ABS(G263*H263-3523025)&lt;1,"✓ OK","⚠ ÉCART")</f>
        <v>✓ OK</v>
      </c>
    </row>
    <row r="264" spans="1:10" ht="15.75" customHeight="1" x14ac:dyDescent="0.25">
      <c r="A264" s="42" t="s">
        <v>932</v>
      </c>
      <c r="B264" s="25" t="s">
        <v>542</v>
      </c>
      <c r="C264" s="43" t="s">
        <v>574</v>
      </c>
      <c r="D264" s="44" t="s">
        <v>744</v>
      </c>
      <c r="E264" s="27" t="s">
        <v>933</v>
      </c>
      <c r="F264" s="28" t="s">
        <v>54</v>
      </c>
      <c r="G264" s="45">
        <v>722.62400000000002</v>
      </c>
      <c r="H264" s="46">
        <v>575</v>
      </c>
      <c r="I264" s="47">
        <f t="shared" si="10"/>
        <v>415508.8</v>
      </c>
      <c r="J264" s="48" t="str">
        <f>IF(ABS(G264*H264-415509)&lt;1,"✓ OK","⚠ ÉCART")</f>
        <v>✓ OK</v>
      </c>
    </row>
    <row r="265" spans="1:10" ht="15.75" customHeight="1" x14ac:dyDescent="0.25">
      <c r="A265" s="35" t="s">
        <v>934</v>
      </c>
      <c r="B265" s="17" t="s">
        <v>542</v>
      </c>
      <c r="C265" s="36" t="s">
        <v>574</v>
      </c>
      <c r="D265" s="37" t="s">
        <v>744</v>
      </c>
      <c r="E265" s="19" t="s">
        <v>935</v>
      </c>
      <c r="F265" s="20" t="s">
        <v>54</v>
      </c>
      <c r="G265" s="38">
        <v>722.62400000000002</v>
      </c>
      <c r="H265" s="39">
        <v>6325</v>
      </c>
      <c r="I265" s="40">
        <f t="shared" si="10"/>
        <v>4570596.8</v>
      </c>
      <c r="J265" s="41" t="str">
        <f>IF(ABS(G265*H265-4570597)&lt;1,"✓ OK","⚠ ÉCART")</f>
        <v>✓ OK</v>
      </c>
    </row>
    <row r="266" spans="1:10" ht="15.75" customHeight="1" x14ac:dyDescent="0.25">
      <c r="A266" s="42" t="s">
        <v>936</v>
      </c>
      <c r="B266" s="25" t="s">
        <v>542</v>
      </c>
      <c r="C266" s="43" t="s">
        <v>574</v>
      </c>
      <c r="D266" s="44" t="s">
        <v>744</v>
      </c>
      <c r="E266" s="27" t="s">
        <v>937</v>
      </c>
      <c r="F266" s="28" t="s">
        <v>54</v>
      </c>
      <c r="G266" s="45">
        <v>182</v>
      </c>
      <c r="H266" s="46">
        <v>575</v>
      </c>
      <c r="I266" s="47">
        <f t="shared" si="10"/>
        <v>104650</v>
      </c>
      <c r="J266" s="48" t="str">
        <f>IF(ABS(G266*H266-104650)&lt;1,"✓ OK","⚠ ÉCART")</f>
        <v>✓ OK</v>
      </c>
    </row>
    <row r="267" spans="1:10" ht="15.75" customHeight="1" x14ac:dyDescent="0.25">
      <c r="A267" s="35" t="s">
        <v>938</v>
      </c>
      <c r="B267" s="17" t="s">
        <v>542</v>
      </c>
      <c r="C267" s="36" t="s">
        <v>574</v>
      </c>
      <c r="D267" s="37" t="s">
        <v>744</v>
      </c>
      <c r="E267" s="19" t="s">
        <v>939</v>
      </c>
      <c r="F267" s="20" t="s">
        <v>54</v>
      </c>
      <c r="G267" s="38">
        <v>182</v>
      </c>
      <c r="H267" s="39">
        <v>6325</v>
      </c>
      <c r="I267" s="40">
        <f t="shared" si="10"/>
        <v>1151150</v>
      </c>
      <c r="J267" s="41" t="str">
        <f>IF(ABS(G267*H267-1151150)&lt;1,"✓ OK","⚠ ÉCART")</f>
        <v>✓ OK</v>
      </c>
    </row>
    <row r="268" spans="1:10" ht="15.75" customHeight="1" x14ac:dyDescent="0.25">
      <c r="A268" s="42" t="s">
        <v>940</v>
      </c>
      <c r="B268" s="25" t="s">
        <v>542</v>
      </c>
      <c r="C268" s="43" t="s">
        <v>574</v>
      </c>
      <c r="D268" s="44" t="s">
        <v>772</v>
      </c>
      <c r="E268" s="27" t="s">
        <v>941</v>
      </c>
      <c r="F268" s="28" t="s">
        <v>54</v>
      </c>
      <c r="G268" s="45">
        <v>415.08800000000002</v>
      </c>
      <c r="H268" s="46">
        <v>575</v>
      </c>
      <c r="I268" s="47">
        <f t="shared" si="10"/>
        <v>238675.6</v>
      </c>
      <c r="J268" s="48" t="str">
        <f>IF(ABS(G268*H268-238676)&lt;1,"✓ OK","⚠ ÉCART")</f>
        <v>✓ OK</v>
      </c>
    </row>
    <row r="269" spans="1:10" ht="15.75" customHeight="1" x14ac:dyDescent="0.25">
      <c r="A269" s="35" t="s">
        <v>942</v>
      </c>
      <c r="B269" s="17" t="s">
        <v>542</v>
      </c>
      <c r="C269" s="36" t="s">
        <v>574</v>
      </c>
      <c r="D269" s="37" t="s">
        <v>772</v>
      </c>
      <c r="E269" s="19" t="s">
        <v>943</v>
      </c>
      <c r="F269" s="20" t="s">
        <v>54</v>
      </c>
      <c r="G269" s="38">
        <v>415.08800000000002</v>
      </c>
      <c r="H269" s="39">
        <v>6325</v>
      </c>
      <c r="I269" s="40">
        <f t="shared" si="10"/>
        <v>2625431.6</v>
      </c>
      <c r="J269" s="41" t="str">
        <f>IF(ABS(G269*H269-2625432)&lt;1,"✓ OK","⚠ ÉCART")</f>
        <v>✓ OK</v>
      </c>
    </row>
    <row r="270" spans="1:10" ht="15.75" customHeight="1" x14ac:dyDescent="0.25">
      <c r="A270" s="42" t="s">
        <v>944</v>
      </c>
      <c r="B270" s="25" t="s">
        <v>542</v>
      </c>
      <c r="C270" s="43" t="s">
        <v>574</v>
      </c>
      <c r="D270" s="44" t="s">
        <v>772</v>
      </c>
      <c r="E270" s="27" t="s">
        <v>945</v>
      </c>
      <c r="F270" s="28" t="s">
        <v>54</v>
      </c>
      <c r="G270" s="45">
        <v>182</v>
      </c>
      <c r="H270" s="46">
        <v>575</v>
      </c>
      <c r="I270" s="47">
        <f t="shared" si="10"/>
        <v>104650</v>
      </c>
      <c r="J270" s="48" t="str">
        <f>IF(ABS(G270*H270-104650)&lt;1,"✓ OK","⚠ ÉCART")</f>
        <v>✓ OK</v>
      </c>
    </row>
    <row r="271" spans="1:10" ht="15.75" customHeight="1" x14ac:dyDescent="0.25">
      <c r="A271" s="35" t="s">
        <v>946</v>
      </c>
      <c r="B271" s="17" t="s">
        <v>542</v>
      </c>
      <c r="C271" s="36" t="s">
        <v>574</v>
      </c>
      <c r="D271" s="37" t="s">
        <v>772</v>
      </c>
      <c r="E271" s="19" t="s">
        <v>947</v>
      </c>
      <c r="F271" s="20" t="s">
        <v>54</v>
      </c>
      <c r="G271" s="38">
        <v>182</v>
      </c>
      <c r="H271" s="39">
        <v>6325</v>
      </c>
      <c r="I271" s="40">
        <f t="shared" si="10"/>
        <v>1151150</v>
      </c>
      <c r="J271" s="41" t="str">
        <f>IF(ABS(G271*H271-1151150)&lt;1,"✓ OK","⚠ ÉCART")</f>
        <v>✓ OK</v>
      </c>
    </row>
    <row r="272" spans="1:10" ht="19.5" customHeight="1" x14ac:dyDescent="0.25">
      <c r="A272" s="7" t="s">
        <v>948</v>
      </c>
      <c r="B272" s="7"/>
      <c r="C272" s="7"/>
      <c r="D272" s="7"/>
      <c r="E272" s="7"/>
      <c r="F272" s="7"/>
      <c r="G272" s="7"/>
      <c r="H272" s="7"/>
      <c r="I272" s="7"/>
      <c r="J272" s="7"/>
    </row>
    <row r="273" spans="1:10" ht="15.75" customHeight="1" x14ac:dyDescent="0.25">
      <c r="A273" s="6" t="s">
        <v>949</v>
      </c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5.75" customHeight="1" x14ac:dyDescent="0.25">
      <c r="A274" s="42" t="s">
        <v>950</v>
      </c>
      <c r="B274" s="25" t="s">
        <v>130</v>
      </c>
      <c r="C274" s="43" t="s">
        <v>574</v>
      </c>
      <c r="D274" s="44" t="s">
        <v>575</v>
      </c>
      <c r="E274" s="27" t="s">
        <v>951</v>
      </c>
      <c r="F274" s="28" t="s">
        <v>54</v>
      </c>
      <c r="G274" s="45">
        <v>46.38</v>
      </c>
      <c r="H274" s="46">
        <v>138000</v>
      </c>
      <c r="I274" s="47">
        <f t="shared" ref="I274:I285" si="11">G274*H274</f>
        <v>6400440</v>
      </c>
      <c r="J274" s="48" t="str">
        <f>IF(ABS(G274*H274-6400440)&lt;1,"✓ OK","⚠ ÉCART")</f>
        <v>✓ OK</v>
      </c>
    </row>
    <row r="275" spans="1:10" ht="15.75" customHeight="1" x14ac:dyDescent="0.25">
      <c r="A275" s="35" t="s">
        <v>952</v>
      </c>
      <c r="B275" s="17" t="s">
        <v>130</v>
      </c>
      <c r="C275" s="36" t="s">
        <v>574</v>
      </c>
      <c r="D275" s="37" t="s">
        <v>575</v>
      </c>
      <c r="E275" s="19" t="s">
        <v>953</v>
      </c>
      <c r="F275" s="20" t="s">
        <v>54</v>
      </c>
      <c r="G275" s="38">
        <v>5.32</v>
      </c>
      <c r="H275" s="39">
        <v>138000</v>
      </c>
      <c r="I275" s="40">
        <f t="shared" si="11"/>
        <v>734160</v>
      </c>
      <c r="J275" s="41" t="str">
        <f>IF(ABS(G275*H275-734160)&lt;1,"✓ OK","⚠ ÉCART")</f>
        <v>✓ OK</v>
      </c>
    </row>
    <row r="276" spans="1:10" ht="15.75" customHeight="1" x14ac:dyDescent="0.25">
      <c r="A276" s="42" t="s">
        <v>954</v>
      </c>
      <c r="B276" s="25" t="s">
        <v>130</v>
      </c>
      <c r="C276" s="43" t="s">
        <v>574</v>
      </c>
      <c r="D276" s="44" t="s">
        <v>575</v>
      </c>
      <c r="E276" s="27" t="s">
        <v>955</v>
      </c>
      <c r="F276" s="28" t="s">
        <v>54</v>
      </c>
      <c r="G276" s="45">
        <v>12</v>
      </c>
      <c r="H276" s="46">
        <v>138000</v>
      </c>
      <c r="I276" s="47">
        <f t="shared" si="11"/>
        <v>1656000</v>
      </c>
      <c r="J276" s="48" t="str">
        <f>IF(ABS(G276*H276-1656000)&lt;1,"✓ OK","⚠ ÉCART")</f>
        <v>✓ OK</v>
      </c>
    </row>
    <row r="277" spans="1:10" ht="15.75" customHeight="1" x14ac:dyDescent="0.25">
      <c r="A277" s="35" t="s">
        <v>956</v>
      </c>
      <c r="B277" s="17" t="s">
        <v>130</v>
      </c>
      <c r="C277" s="36" t="s">
        <v>574</v>
      </c>
      <c r="D277" s="37" t="s">
        <v>575</v>
      </c>
      <c r="E277" s="19" t="s">
        <v>957</v>
      </c>
      <c r="F277" s="20" t="s">
        <v>54</v>
      </c>
      <c r="G277" s="38">
        <v>3.36</v>
      </c>
      <c r="H277" s="39">
        <v>138000</v>
      </c>
      <c r="I277" s="40">
        <f t="shared" si="11"/>
        <v>463680</v>
      </c>
      <c r="J277" s="41" t="str">
        <f>IF(ABS(G277*H277-463680)&lt;1,"✓ OK","⚠ ÉCART")</f>
        <v>✓ OK</v>
      </c>
    </row>
    <row r="278" spans="1:10" ht="15.75" customHeight="1" x14ac:dyDescent="0.25">
      <c r="A278" s="42" t="s">
        <v>958</v>
      </c>
      <c r="B278" s="25" t="s">
        <v>130</v>
      </c>
      <c r="C278" s="43" t="s">
        <v>574</v>
      </c>
      <c r="D278" s="44" t="s">
        <v>575</v>
      </c>
      <c r="E278" s="27" t="s">
        <v>959</v>
      </c>
      <c r="F278" s="28" t="s">
        <v>54</v>
      </c>
      <c r="G278" s="45">
        <v>1.92</v>
      </c>
      <c r="H278" s="46">
        <v>138000</v>
      </c>
      <c r="I278" s="47">
        <f t="shared" si="11"/>
        <v>264960</v>
      </c>
      <c r="J278" s="48" t="str">
        <f>IF(ABS(G278*H278-264960)&lt;1,"✓ OK","⚠ ÉCART")</f>
        <v>✓ OK</v>
      </c>
    </row>
    <row r="279" spans="1:10" ht="15.75" customHeight="1" x14ac:dyDescent="0.25">
      <c r="A279" s="35" t="s">
        <v>960</v>
      </c>
      <c r="B279" s="17" t="s">
        <v>130</v>
      </c>
      <c r="C279" s="36" t="s">
        <v>574</v>
      </c>
      <c r="D279" s="37" t="s">
        <v>575</v>
      </c>
      <c r="E279" s="19" t="s">
        <v>961</v>
      </c>
      <c r="F279" s="20" t="s">
        <v>54</v>
      </c>
      <c r="G279" s="38">
        <v>1.2</v>
      </c>
      <c r="H279" s="39">
        <v>138000</v>
      </c>
      <c r="I279" s="40">
        <f t="shared" si="11"/>
        <v>165600</v>
      </c>
      <c r="J279" s="41" t="str">
        <f>IF(ABS(G279*H279-165600)&lt;1,"✓ OK","⚠ ÉCART")</f>
        <v>✓ OK</v>
      </c>
    </row>
    <row r="280" spans="1:10" ht="15.75" customHeight="1" x14ac:dyDescent="0.25">
      <c r="A280" s="42" t="s">
        <v>962</v>
      </c>
      <c r="B280" s="25" t="s">
        <v>130</v>
      </c>
      <c r="C280" s="43" t="s">
        <v>574</v>
      </c>
      <c r="D280" s="44" t="s">
        <v>575</v>
      </c>
      <c r="E280" s="27" t="s">
        <v>963</v>
      </c>
      <c r="F280" s="28" t="s">
        <v>54</v>
      </c>
      <c r="G280" s="45">
        <v>1.44</v>
      </c>
      <c r="H280" s="46">
        <v>138000</v>
      </c>
      <c r="I280" s="47">
        <f t="shared" si="11"/>
        <v>198720</v>
      </c>
      <c r="J280" s="48" t="str">
        <f>IF(ABS(G280*H280-198720)&lt;1,"✓ OK","⚠ ÉCART")</f>
        <v>✓ OK</v>
      </c>
    </row>
    <row r="281" spans="1:10" ht="15.75" customHeight="1" x14ac:dyDescent="0.25">
      <c r="A281" s="35" t="s">
        <v>964</v>
      </c>
      <c r="B281" s="17" t="s">
        <v>130</v>
      </c>
      <c r="C281" s="36" t="s">
        <v>574</v>
      </c>
      <c r="D281" s="37" t="s">
        <v>575</v>
      </c>
      <c r="E281" s="19" t="s">
        <v>965</v>
      </c>
      <c r="F281" s="20" t="s">
        <v>54</v>
      </c>
      <c r="G281" s="38">
        <v>5.39</v>
      </c>
      <c r="H281" s="39">
        <v>138000</v>
      </c>
      <c r="I281" s="40">
        <f t="shared" si="11"/>
        <v>743820</v>
      </c>
      <c r="J281" s="41" t="str">
        <f>IF(ABS(G281*H281-743820)&lt;1,"✓ OK","⚠ ÉCART")</f>
        <v>✓ OK</v>
      </c>
    </row>
    <row r="282" spans="1:10" ht="15.75" customHeight="1" x14ac:dyDescent="0.25">
      <c r="A282" s="42" t="s">
        <v>966</v>
      </c>
      <c r="B282" s="25" t="s">
        <v>130</v>
      </c>
      <c r="C282" s="43" t="s">
        <v>574</v>
      </c>
      <c r="D282" s="44" t="s">
        <v>575</v>
      </c>
      <c r="E282" s="27" t="s">
        <v>967</v>
      </c>
      <c r="F282" s="28" t="s">
        <v>54</v>
      </c>
      <c r="G282" s="45">
        <v>9.9</v>
      </c>
      <c r="H282" s="46">
        <v>138000</v>
      </c>
      <c r="I282" s="47">
        <f t="shared" si="11"/>
        <v>1366200</v>
      </c>
      <c r="J282" s="48" t="str">
        <f>IF(ABS(G282*H282-1366200)&lt;1,"✓ OK","⚠ ÉCART")</f>
        <v>✓ OK</v>
      </c>
    </row>
    <row r="283" spans="1:10" ht="15.75" customHeight="1" x14ac:dyDescent="0.25">
      <c r="A283" s="35" t="s">
        <v>968</v>
      </c>
      <c r="B283" s="17" t="s">
        <v>130</v>
      </c>
      <c r="C283" s="36" t="s">
        <v>574</v>
      </c>
      <c r="D283" s="37" t="s">
        <v>575</v>
      </c>
      <c r="E283" s="19" t="s">
        <v>969</v>
      </c>
      <c r="F283" s="20" t="s">
        <v>54</v>
      </c>
      <c r="G283" s="38">
        <v>5.28</v>
      </c>
      <c r="H283" s="39">
        <v>138000</v>
      </c>
      <c r="I283" s="40">
        <f t="shared" si="11"/>
        <v>728640</v>
      </c>
      <c r="J283" s="41" t="str">
        <f>IF(ABS(G283*H283-728640)&lt;1,"✓ OK","⚠ ÉCART")</f>
        <v>✓ OK</v>
      </c>
    </row>
    <row r="284" spans="1:10" ht="15.75" customHeight="1" x14ac:dyDescent="0.25">
      <c r="A284" s="42" t="s">
        <v>970</v>
      </c>
      <c r="B284" s="25" t="s">
        <v>130</v>
      </c>
      <c r="C284" s="43" t="s">
        <v>574</v>
      </c>
      <c r="D284" s="44" t="s">
        <v>575</v>
      </c>
      <c r="E284" s="27" t="s">
        <v>971</v>
      </c>
      <c r="F284" s="28" t="s">
        <v>54</v>
      </c>
      <c r="G284" s="45">
        <v>31.68</v>
      </c>
      <c r="H284" s="46">
        <v>138000</v>
      </c>
      <c r="I284" s="47">
        <f t="shared" si="11"/>
        <v>4371840</v>
      </c>
      <c r="J284" s="48" t="str">
        <f>IF(ABS(G284*H284-4371840)&lt;1,"✓ OK","⚠ ÉCART")</f>
        <v>✓ OK</v>
      </c>
    </row>
    <row r="285" spans="1:10" ht="15.75" customHeight="1" x14ac:dyDescent="0.25">
      <c r="A285" s="35" t="s">
        <v>972</v>
      </c>
      <c r="B285" s="17" t="s">
        <v>130</v>
      </c>
      <c r="C285" s="36" t="s">
        <v>574</v>
      </c>
      <c r="D285" s="37" t="s">
        <v>575</v>
      </c>
      <c r="E285" s="19" t="s">
        <v>973</v>
      </c>
      <c r="F285" s="20" t="s">
        <v>54</v>
      </c>
      <c r="G285" s="38">
        <v>19.36</v>
      </c>
      <c r="H285" s="39">
        <v>138000</v>
      </c>
      <c r="I285" s="40">
        <f t="shared" si="11"/>
        <v>2671680</v>
      </c>
      <c r="J285" s="41" t="str">
        <f>IF(ABS(G285*H285-2671680)&lt;1,"✓ OK","⚠ ÉCART")</f>
        <v>✓ OK</v>
      </c>
    </row>
    <row r="286" spans="1:10" ht="15.75" customHeight="1" x14ac:dyDescent="0.25">
      <c r="A286" s="6" t="s">
        <v>974</v>
      </c>
      <c r="B286" s="6"/>
      <c r="C286" s="6"/>
      <c r="D286" s="6"/>
      <c r="E286" s="6"/>
      <c r="F286" s="6"/>
      <c r="G286" s="6"/>
      <c r="H286" s="6"/>
      <c r="I286" s="6"/>
      <c r="J286" s="6"/>
    </row>
    <row r="287" spans="1:10" ht="15.75" customHeight="1" x14ac:dyDescent="0.25">
      <c r="A287" s="35" t="s">
        <v>975</v>
      </c>
      <c r="B287" s="17" t="s">
        <v>130</v>
      </c>
      <c r="C287" s="36" t="s">
        <v>574</v>
      </c>
      <c r="D287" s="37" t="s">
        <v>579</v>
      </c>
      <c r="E287" s="19" t="s">
        <v>976</v>
      </c>
      <c r="F287" s="20" t="s">
        <v>54</v>
      </c>
      <c r="G287" s="38">
        <v>1.44</v>
      </c>
      <c r="H287" s="39">
        <v>138000</v>
      </c>
      <c r="I287" s="40">
        <f t="shared" ref="I287:I296" si="12">G287*H287</f>
        <v>198720</v>
      </c>
      <c r="J287" s="41" t="str">
        <f>IF(ABS(G287*H287-198720)&lt;1,"✓ OK","⚠ ÉCART")</f>
        <v>✓ OK</v>
      </c>
    </row>
    <row r="288" spans="1:10" ht="15.75" customHeight="1" x14ac:dyDescent="0.25">
      <c r="A288" s="42" t="s">
        <v>977</v>
      </c>
      <c r="B288" s="25" t="s">
        <v>130</v>
      </c>
      <c r="C288" s="43" t="s">
        <v>574</v>
      </c>
      <c r="D288" s="44" t="s">
        <v>579</v>
      </c>
      <c r="E288" s="27" t="s">
        <v>978</v>
      </c>
      <c r="F288" s="28" t="s">
        <v>54</v>
      </c>
      <c r="G288" s="45">
        <v>8.94</v>
      </c>
      <c r="H288" s="46">
        <v>138000</v>
      </c>
      <c r="I288" s="47">
        <f t="shared" si="12"/>
        <v>1233720</v>
      </c>
      <c r="J288" s="48" t="str">
        <f>IF(ABS(G288*H288-1233720)&lt;1,"✓ OK","⚠ ÉCART")</f>
        <v>✓ OK</v>
      </c>
    </row>
    <row r="289" spans="1:10" ht="15.75" customHeight="1" x14ac:dyDescent="0.25">
      <c r="A289" s="35" t="s">
        <v>979</v>
      </c>
      <c r="B289" s="17" t="s">
        <v>130</v>
      </c>
      <c r="C289" s="36" t="s">
        <v>574</v>
      </c>
      <c r="D289" s="37" t="s">
        <v>579</v>
      </c>
      <c r="E289" s="19" t="s">
        <v>980</v>
      </c>
      <c r="F289" s="20" t="s">
        <v>54</v>
      </c>
      <c r="G289" s="38">
        <v>7.92</v>
      </c>
      <c r="H289" s="39">
        <v>138000</v>
      </c>
      <c r="I289" s="40">
        <f t="shared" si="12"/>
        <v>1092960</v>
      </c>
      <c r="J289" s="41" t="str">
        <f>IF(ABS(G289*H289-1092960)&lt;1,"✓ OK","⚠ ÉCART")</f>
        <v>✓ OK</v>
      </c>
    </row>
    <row r="290" spans="1:10" ht="15.75" customHeight="1" x14ac:dyDescent="0.25">
      <c r="A290" s="42" t="s">
        <v>981</v>
      </c>
      <c r="B290" s="25" t="s">
        <v>130</v>
      </c>
      <c r="C290" s="43" t="s">
        <v>574</v>
      </c>
      <c r="D290" s="44" t="s">
        <v>579</v>
      </c>
      <c r="E290" s="27" t="s">
        <v>959</v>
      </c>
      <c r="F290" s="28" t="s">
        <v>54</v>
      </c>
      <c r="G290" s="45">
        <v>17.28</v>
      </c>
      <c r="H290" s="46">
        <v>138000</v>
      </c>
      <c r="I290" s="47">
        <f t="shared" si="12"/>
        <v>2384640</v>
      </c>
      <c r="J290" s="48" t="str">
        <f>IF(ABS(G290*H290-2384640)&lt;1,"✓ OK","⚠ ÉCART")</f>
        <v>✓ OK</v>
      </c>
    </row>
    <row r="291" spans="1:10" ht="15.75" customHeight="1" x14ac:dyDescent="0.25">
      <c r="A291" s="35" t="s">
        <v>982</v>
      </c>
      <c r="B291" s="17" t="s">
        <v>130</v>
      </c>
      <c r="C291" s="36" t="s">
        <v>574</v>
      </c>
      <c r="D291" s="37" t="s">
        <v>579</v>
      </c>
      <c r="E291" s="19" t="s">
        <v>961</v>
      </c>
      <c r="F291" s="20" t="s">
        <v>54</v>
      </c>
      <c r="G291" s="38">
        <v>1.2</v>
      </c>
      <c r="H291" s="39">
        <v>138000</v>
      </c>
      <c r="I291" s="40">
        <f t="shared" si="12"/>
        <v>165600</v>
      </c>
      <c r="J291" s="41" t="str">
        <f>IF(ABS(G291*H291-165600)&lt;1,"✓ OK","⚠ ÉCART")</f>
        <v>✓ OK</v>
      </c>
    </row>
    <row r="292" spans="1:10" ht="15.75" customHeight="1" x14ac:dyDescent="0.25">
      <c r="A292" s="42" t="s">
        <v>983</v>
      </c>
      <c r="B292" s="25" t="s">
        <v>130</v>
      </c>
      <c r="C292" s="43" t="s">
        <v>574</v>
      </c>
      <c r="D292" s="44" t="s">
        <v>579</v>
      </c>
      <c r="E292" s="27" t="s">
        <v>963</v>
      </c>
      <c r="F292" s="28" t="s">
        <v>54</v>
      </c>
      <c r="G292" s="45">
        <v>2.52</v>
      </c>
      <c r="H292" s="46">
        <v>138000</v>
      </c>
      <c r="I292" s="47">
        <f t="shared" si="12"/>
        <v>347760</v>
      </c>
      <c r="J292" s="48" t="str">
        <f>IF(ABS(G292*H292-347760)&lt;1,"✓ OK","⚠ ÉCART")</f>
        <v>✓ OK</v>
      </c>
    </row>
    <row r="293" spans="1:10" ht="15.75" customHeight="1" x14ac:dyDescent="0.25">
      <c r="A293" s="35" t="s">
        <v>984</v>
      </c>
      <c r="B293" s="17" t="s">
        <v>130</v>
      </c>
      <c r="C293" s="36" t="s">
        <v>574</v>
      </c>
      <c r="D293" s="37" t="s">
        <v>579</v>
      </c>
      <c r="E293" s="19" t="s">
        <v>985</v>
      </c>
      <c r="F293" s="20" t="s">
        <v>54</v>
      </c>
      <c r="G293" s="38">
        <v>32.4</v>
      </c>
      <c r="H293" s="39">
        <v>138000</v>
      </c>
      <c r="I293" s="40">
        <f t="shared" si="12"/>
        <v>4471200</v>
      </c>
      <c r="J293" s="41" t="str">
        <f>IF(ABS(G293*H293-4471200)&lt;1,"✓ OK","⚠ ÉCART")</f>
        <v>✓ OK</v>
      </c>
    </row>
    <row r="294" spans="1:10" ht="15.75" customHeight="1" x14ac:dyDescent="0.25">
      <c r="A294" s="42" t="s">
        <v>986</v>
      </c>
      <c r="B294" s="25" t="s">
        <v>130</v>
      </c>
      <c r="C294" s="43" t="s">
        <v>574</v>
      </c>
      <c r="D294" s="44" t="s">
        <v>579</v>
      </c>
      <c r="E294" s="27" t="s">
        <v>987</v>
      </c>
      <c r="F294" s="28" t="s">
        <v>54</v>
      </c>
      <c r="G294" s="45">
        <v>33</v>
      </c>
      <c r="H294" s="46">
        <v>138000</v>
      </c>
      <c r="I294" s="47">
        <f t="shared" si="12"/>
        <v>4554000</v>
      </c>
      <c r="J294" s="48" t="str">
        <f>IF(ABS(G294*H294-4554000)&lt;1,"✓ OK","⚠ ÉCART")</f>
        <v>✓ OK</v>
      </c>
    </row>
    <row r="295" spans="1:10" ht="15.75" customHeight="1" x14ac:dyDescent="0.25">
      <c r="A295" s="35" t="s">
        <v>988</v>
      </c>
      <c r="B295" s="17" t="s">
        <v>130</v>
      </c>
      <c r="C295" s="36" t="s">
        <v>574</v>
      </c>
      <c r="D295" s="37" t="s">
        <v>579</v>
      </c>
      <c r="E295" s="19" t="s">
        <v>971</v>
      </c>
      <c r="F295" s="20" t="s">
        <v>54</v>
      </c>
      <c r="G295" s="38">
        <v>39.6</v>
      </c>
      <c r="H295" s="39">
        <v>138000</v>
      </c>
      <c r="I295" s="40">
        <f t="shared" si="12"/>
        <v>5464800</v>
      </c>
      <c r="J295" s="41" t="str">
        <f>IF(ABS(G295*H295-5464800)&lt;1,"✓ OK","⚠ ÉCART")</f>
        <v>✓ OK</v>
      </c>
    </row>
    <row r="296" spans="1:10" ht="15.75" customHeight="1" x14ac:dyDescent="0.25">
      <c r="A296" s="42" t="s">
        <v>989</v>
      </c>
      <c r="B296" s="25" t="s">
        <v>130</v>
      </c>
      <c r="C296" s="43" t="s">
        <v>574</v>
      </c>
      <c r="D296" s="44" t="s">
        <v>579</v>
      </c>
      <c r="E296" s="27" t="s">
        <v>973</v>
      </c>
      <c r="F296" s="28" t="s">
        <v>54</v>
      </c>
      <c r="G296" s="45">
        <v>28.16</v>
      </c>
      <c r="H296" s="46">
        <v>138000</v>
      </c>
      <c r="I296" s="47">
        <f t="shared" si="12"/>
        <v>3886080</v>
      </c>
      <c r="J296" s="48" t="str">
        <f>IF(ABS(G296*H296-3886080)&lt;1,"✓ OK","⚠ ÉCART")</f>
        <v>✓ OK</v>
      </c>
    </row>
    <row r="297" spans="1:10" ht="15.75" customHeight="1" x14ac:dyDescent="0.25">
      <c r="A297" s="6" t="s">
        <v>990</v>
      </c>
      <c r="B297" s="6"/>
      <c r="C297" s="6"/>
      <c r="D297" s="6"/>
      <c r="E297" s="6"/>
      <c r="F297" s="6"/>
      <c r="G297" s="6"/>
      <c r="H297" s="6"/>
      <c r="I297" s="6"/>
      <c r="J297" s="6"/>
    </row>
    <row r="298" spans="1:10" ht="15.75" customHeight="1" x14ac:dyDescent="0.25">
      <c r="A298" s="42" t="s">
        <v>991</v>
      </c>
      <c r="B298" s="25" t="s">
        <v>130</v>
      </c>
      <c r="C298" s="43" t="s">
        <v>574</v>
      </c>
      <c r="D298" s="44" t="s">
        <v>582</v>
      </c>
      <c r="E298" s="27" t="s">
        <v>992</v>
      </c>
      <c r="F298" s="28" t="s">
        <v>54</v>
      </c>
      <c r="G298" s="45">
        <v>1.8</v>
      </c>
      <c r="H298" s="46">
        <v>138000</v>
      </c>
      <c r="I298" s="47">
        <f t="shared" ref="I298:I307" si="13">G298*H298</f>
        <v>248400</v>
      </c>
      <c r="J298" s="48" t="str">
        <f>IF(ABS(G298*H298-248400)&lt;1,"✓ OK","⚠ ÉCART")</f>
        <v>✓ OK</v>
      </c>
    </row>
    <row r="299" spans="1:10" ht="15.75" customHeight="1" x14ac:dyDescent="0.25">
      <c r="A299" s="35" t="s">
        <v>993</v>
      </c>
      <c r="B299" s="17" t="s">
        <v>130</v>
      </c>
      <c r="C299" s="36" t="s">
        <v>574</v>
      </c>
      <c r="D299" s="37" t="s">
        <v>582</v>
      </c>
      <c r="E299" s="19" t="s">
        <v>959</v>
      </c>
      <c r="F299" s="20" t="s">
        <v>54</v>
      </c>
      <c r="G299" s="38">
        <v>17.28</v>
      </c>
      <c r="H299" s="39">
        <v>138000</v>
      </c>
      <c r="I299" s="40">
        <f t="shared" si="13"/>
        <v>2384640</v>
      </c>
      <c r="J299" s="41" t="str">
        <f>IF(ABS(G299*H299-2384640)&lt;1,"✓ OK","⚠ ÉCART")</f>
        <v>✓ OK</v>
      </c>
    </row>
    <row r="300" spans="1:10" ht="15.75" customHeight="1" x14ac:dyDescent="0.25">
      <c r="A300" s="42" t="s">
        <v>994</v>
      </c>
      <c r="B300" s="25" t="s">
        <v>130</v>
      </c>
      <c r="C300" s="43" t="s">
        <v>574</v>
      </c>
      <c r="D300" s="44" t="s">
        <v>582</v>
      </c>
      <c r="E300" s="27" t="s">
        <v>961</v>
      </c>
      <c r="F300" s="28" t="s">
        <v>54</v>
      </c>
      <c r="G300" s="45">
        <v>3.6</v>
      </c>
      <c r="H300" s="46">
        <v>138000</v>
      </c>
      <c r="I300" s="47">
        <f t="shared" si="13"/>
        <v>496800</v>
      </c>
      <c r="J300" s="48" t="str">
        <f>IF(ABS(G300*H300-496800)&lt;1,"✓ OK","⚠ ÉCART")</f>
        <v>✓ OK</v>
      </c>
    </row>
    <row r="301" spans="1:10" ht="15.75" customHeight="1" x14ac:dyDescent="0.25">
      <c r="A301" s="35" t="s">
        <v>995</v>
      </c>
      <c r="B301" s="17" t="s">
        <v>130</v>
      </c>
      <c r="C301" s="36" t="s">
        <v>574</v>
      </c>
      <c r="D301" s="37" t="s">
        <v>582</v>
      </c>
      <c r="E301" s="19" t="s">
        <v>963</v>
      </c>
      <c r="F301" s="20" t="s">
        <v>54</v>
      </c>
      <c r="G301" s="38">
        <v>2.52</v>
      </c>
      <c r="H301" s="39">
        <v>138000</v>
      </c>
      <c r="I301" s="40">
        <f t="shared" si="13"/>
        <v>347760</v>
      </c>
      <c r="J301" s="41" t="str">
        <f>IF(ABS(G301*H301-347760)&lt;1,"✓ OK","⚠ ÉCART")</f>
        <v>✓ OK</v>
      </c>
    </row>
    <row r="302" spans="1:10" ht="15.75" customHeight="1" x14ac:dyDescent="0.25">
      <c r="A302" s="42" t="s">
        <v>996</v>
      </c>
      <c r="B302" s="25" t="s">
        <v>130</v>
      </c>
      <c r="C302" s="43" t="s">
        <v>574</v>
      </c>
      <c r="D302" s="44" t="s">
        <v>582</v>
      </c>
      <c r="E302" s="27" t="s">
        <v>985</v>
      </c>
      <c r="F302" s="28" t="s">
        <v>54</v>
      </c>
      <c r="G302" s="45">
        <v>32.4</v>
      </c>
      <c r="H302" s="46">
        <v>138000</v>
      </c>
      <c r="I302" s="47">
        <f t="shared" si="13"/>
        <v>4471200</v>
      </c>
      <c r="J302" s="48" t="str">
        <f>IF(ABS(G302*H302-4471200)&lt;1,"✓ OK","⚠ ÉCART")</f>
        <v>✓ OK</v>
      </c>
    </row>
    <row r="303" spans="1:10" ht="15.75" customHeight="1" x14ac:dyDescent="0.25">
      <c r="A303" s="35" t="s">
        <v>997</v>
      </c>
      <c r="B303" s="17" t="s">
        <v>130</v>
      </c>
      <c r="C303" s="36" t="s">
        <v>574</v>
      </c>
      <c r="D303" s="37" t="s">
        <v>582</v>
      </c>
      <c r="E303" s="19" t="s">
        <v>987</v>
      </c>
      <c r="F303" s="20" t="s">
        <v>54</v>
      </c>
      <c r="G303" s="38">
        <v>27.5</v>
      </c>
      <c r="H303" s="39">
        <v>138000</v>
      </c>
      <c r="I303" s="40">
        <f t="shared" si="13"/>
        <v>3795000</v>
      </c>
      <c r="J303" s="41" t="str">
        <f>IF(ABS(G303*H303-3795000)&lt;1,"✓ OK","⚠ ÉCART")</f>
        <v>✓ OK</v>
      </c>
    </row>
    <row r="304" spans="1:10" ht="15.75" customHeight="1" x14ac:dyDescent="0.25">
      <c r="A304" s="42" t="s">
        <v>998</v>
      </c>
      <c r="B304" s="25" t="s">
        <v>130</v>
      </c>
      <c r="C304" s="43" t="s">
        <v>574</v>
      </c>
      <c r="D304" s="44" t="s">
        <v>582</v>
      </c>
      <c r="E304" s="27" t="s">
        <v>967</v>
      </c>
      <c r="F304" s="28" t="s">
        <v>54</v>
      </c>
      <c r="G304" s="45">
        <v>39.6</v>
      </c>
      <c r="H304" s="46">
        <v>138000</v>
      </c>
      <c r="I304" s="47">
        <f t="shared" si="13"/>
        <v>5464800</v>
      </c>
      <c r="J304" s="48" t="str">
        <f>IF(ABS(G304*H304-5464800)&lt;1,"✓ OK","⚠ ÉCART")</f>
        <v>✓ OK</v>
      </c>
    </row>
    <row r="305" spans="1:10" ht="15.75" customHeight="1" x14ac:dyDescent="0.25">
      <c r="A305" s="35" t="s">
        <v>999</v>
      </c>
      <c r="B305" s="17" t="s">
        <v>130</v>
      </c>
      <c r="C305" s="36" t="s">
        <v>574</v>
      </c>
      <c r="D305" s="37" t="s">
        <v>582</v>
      </c>
      <c r="E305" s="19" t="s">
        <v>969</v>
      </c>
      <c r="F305" s="20" t="s">
        <v>54</v>
      </c>
      <c r="G305" s="38">
        <v>10.56</v>
      </c>
      <c r="H305" s="39">
        <v>138000</v>
      </c>
      <c r="I305" s="40">
        <f t="shared" si="13"/>
        <v>1457280</v>
      </c>
      <c r="J305" s="41" t="str">
        <f>IF(ABS(G305*H305-1457280)&lt;1,"✓ OK","⚠ ÉCART")</f>
        <v>✓ OK</v>
      </c>
    </row>
    <row r="306" spans="1:10" ht="15.75" customHeight="1" x14ac:dyDescent="0.25">
      <c r="A306" s="42" t="s">
        <v>1000</v>
      </c>
      <c r="B306" s="25" t="s">
        <v>130</v>
      </c>
      <c r="C306" s="43" t="s">
        <v>574</v>
      </c>
      <c r="D306" s="44" t="s">
        <v>582</v>
      </c>
      <c r="E306" s="27" t="s">
        <v>971</v>
      </c>
      <c r="F306" s="28" t="s">
        <v>54</v>
      </c>
      <c r="G306" s="45">
        <v>35.64</v>
      </c>
      <c r="H306" s="46">
        <v>138000</v>
      </c>
      <c r="I306" s="47">
        <f t="shared" si="13"/>
        <v>4918320</v>
      </c>
      <c r="J306" s="48" t="str">
        <f>IF(ABS(G306*H306-4918320)&lt;1,"✓ OK","⚠ ÉCART")</f>
        <v>✓ OK</v>
      </c>
    </row>
    <row r="307" spans="1:10" ht="15.75" customHeight="1" x14ac:dyDescent="0.25">
      <c r="A307" s="35" t="s">
        <v>1001</v>
      </c>
      <c r="B307" s="17" t="s">
        <v>130</v>
      </c>
      <c r="C307" s="36" t="s">
        <v>574</v>
      </c>
      <c r="D307" s="37" t="s">
        <v>582</v>
      </c>
      <c r="E307" s="19" t="s">
        <v>973</v>
      </c>
      <c r="F307" s="20" t="s">
        <v>54</v>
      </c>
      <c r="G307" s="38">
        <v>12.32</v>
      </c>
      <c r="H307" s="39">
        <v>138000</v>
      </c>
      <c r="I307" s="40">
        <f t="shared" si="13"/>
        <v>1700160</v>
      </c>
      <c r="J307" s="41" t="str">
        <f>IF(ABS(G307*H307-1700160)&lt;1,"✓ OK","⚠ ÉCART")</f>
        <v>✓ OK</v>
      </c>
    </row>
    <row r="308" spans="1:10" ht="15.75" customHeight="1" x14ac:dyDescent="0.25">
      <c r="A308" s="6" t="s">
        <v>1002</v>
      </c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5.75" customHeight="1" x14ac:dyDescent="0.25">
      <c r="A309" s="35" t="s">
        <v>1003</v>
      </c>
      <c r="B309" s="17" t="s">
        <v>130</v>
      </c>
      <c r="C309" s="36" t="s">
        <v>574</v>
      </c>
      <c r="D309" s="37" t="s">
        <v>744</v>
      </c>
      <c r="E309" s="19" t="s">
        <v>1004</v>
      </c>
      <c r="F309" s="20" t="s">
        <v>54</v>
      </c>
      <c r="G309" s="38">
        <v>14.4</v>
      </c>
      <c r="H309" s="39">
        <v>138000</v>
      </c>
      <c r="I309" s="40">
        <f t="shared" ref="I309:I317" si="14">G309*H309</f>
        <v>1987200</v>
      </c>
      <c r="J309" s="41" t="str">
        <f>IF(ABS(G309*H309-1987200)&lt;1,"✓ OK","⚠ ÉCART")</f>
        <v>✓ OK</v>
      </c>
    </row>
    <row r="310" spans="1:10" ht="15.75" customHeight="1" x14ac:dyDescent="0.25">
      <c r="A310" s="42" t="s">
        <v>1005</v>
      </c>
      <c r="B310" s="25" t="s">
        <v>130</v>
      </c>
      <c r="C310" s="43" t="s">
        <v>574</v>
      </c>
      <c r="D310" s="44" t="s">
        <v>744</v>
      </c>
      <c r="E310" s="27" t="s">
        <v>1006</v>
      </c>
      <c r="F310" s="28" t="s">
        <v>54</v>
      </c>
      <c r="G310" s="45">
        <v>13.2</v>
      </c>
      <c r="H310" s="46">
        <v>138000</v>
      </c>
      <c r="I310" s="47">
        <f t="shared" si="14"/>
        <v>1821600</v>
      </c>
      <c r="J310" s="48" t="str">
        <f>IF(ABS(G310*H310-1821600)&lt;1,"✓ OK","⚠ ÉCART")</f>
        <v>✓ OK</v>
      </c>
    </row>
    <row r="311" spans="1:10" ht="15.75" customHeight="1" x14ac:dyDescent="0.25">
      <c r="A311" s="35" t="s">
        <v>1007</v>
      </c>
      <c r="B311" s="17" t="s">
        <v>130</v>
      </c>
      <c r="C311" s="36" t="s">
        <v>574</v>
      </c>
      <c r="D311" s="37" t="s">
        <v>744</v>
      </c>
      <c r="E311" s="19" t="s">
        <v>992</v>
      </c>
      <c r="F311" s="20" t="s">
        <v>54</v>
      </c>
      <c r="G311" s="38">
        <v>9</v>
      </c>
      <c r="H311" s="39">
        <v>138000</v>
      </c>
      <c r="I311" s="40">
        <f t="shared" si="14"/>
        <v>1242000</v>
      </c>
      <c r="J311" s="41" t="str">
        <f>IF(ABS(G311*H311-1242000)&lt;1,"✓ OK","⚠ ÉCART")</f>
        <v>✓ OK</v>
      </c>
    </row>
    <row r="312" spans="1:10" ht="15.75" customHeight="1" x14ac:dyDescent="0.25">
      <c r="A312" s="42" t="s">
        <v>1008</v>
      </c>
      <c r="B312" s="25" t="s">
        <v>130</v>
      </c>
      <c r="C312" s="43" t="s">
        <v>574</v>
      </c>
      <c r="D312" s="44" t="s">
        <v>744</v>
      </c>
      <c r="E312" s="27" t="s">
        <v>961</v>
      </c>
      <c r="F312" s="28" t="s">
        <v>54</v>
      </c>
      <c r="G312" s="45">
        <v>1.2</v>
      </c>
      <c r="H312" s="46">
        <v>138000</v>
      </c>
      <c r="I312" s="47">
        <f t="shared" si="14"/>
        <v>165600</v>
      </c>
      <c r="J312" s="48" t="str">
        <f>IF(ABS(G312*H312-165600)&lt;1,"✓ OK","⚠ ÉCART")</f>
        <v>✓ OK</v>
      </c>
    </row>
    <row r="313" spans="1:10" ht="15.75" customHeight="1" x14ac:dyDescent="0.25">
      <c r="A313" s="35" t="s">
        <v>1009</v>
      </c>
      <c r="B313" s="17" t="s">
        <v>130</v>
      </c>
      <c r="C313" s="36" t="s">
        <v>574</v>
      </c>
      <c r="D313" s="37" t="s">
        <v>744</v>
      </c>
      <c r="E313" s="19" t="s">
        <v>963</v>
      </c>
      <c r="F313" s="20" t="s">
        <v>54</v>
      </c>
      <c r="G313" s="38">
        <v>2.16</v>
      </c>
      <c r="H313" s="39">
        <v>138000</v>
      </c>
      <c r="I313" s="40">
        <f t="shared" si="14"/>
        <v>298080</v>
      </c>
      <c r="J313" s="41" t="str">
        <f>IF(ABS(G313*H313-298080)&lt;1,"✓ OK","⚠ ÉCART")</f>
        <v>✓ OK</v>
      </c>
    </row>
    <row r="314" spans="1:10" ht="15.75" customHeight="1" x14ac:dyDescent="0.25">
      <c r="A314" s="42" t="s">
        <v>1010</v>
      </c>
      <c r="B314" s="25" t="s">
        <v>130</v>
      </c>
      <c r="C314" s="43" t="s">
        <v>574</v>
      </c>
      <c r="D314" s="44" t="s">
        <v>744</v>
      </c>
      <c r="E314" s="27" t="s">
        <v>985</v>
      </c>
      <c r="F314" s="28" t="s">
        <v>54</v>
      </c>
      <c r="G314" s="45">
        <v>45.22</v>
      </c>
      <c r="H314" s="46">
        <v>138000</v>
      </c>
      <c r="I314" s="47">
        <f t="shared" si="14"/>
        <v>6240360</v>
      </c>
      <c r="J314" s="48" t="str">
        <f>IF(ABS(G314*H314-6240360)&lt;1,"✓ OK","⚠ ÉCART")</f>
        <v>✓ OK</v>
      </c>
    </row>
    <row r="315" spans="1:10" ht="15.75" customHeight="1" x14ac:dyDescent="0.25">
      <c r="A315" s="35" t="s">
        <v>1011</v>
      </c>
      <c r="B315" s="17" t="s">
        <v>130</v>
      </c>
      <c r="C315" s="36" t="s">
        <v>574</v>
      </c>
      <c r="D315" s="37" t="s">
        <v>744</v>
      </c>
      <c r="E315" s="19" t="s">
        <v>967</v>
      </c>
      <c r="F315" s="20" t="s">
        <v>54</v>
      </c>
      <c r="G315" s="38">
        <v>13.2</v>
      </c>
      <c r="H315" s="39">
        <v>138000</v>
      </c>
      <c r="I315" s="40">
        <f t="shared" si="14"/>
        <v>1821600</v>
      </c>
      <c r="J315" s="41" t="str">
        <f>IF(ABS(G315*H315-1821600)&lt;1,"✓ OK","⚠ ÉCART")</f>
        <v>✓ OK</v>
      </c>
    </row>
    <row r="316" spans="1:10" ht="15.75" customHeight="1" x14ac:dyDescent="0.25">
      <c r="A316" s="42" t="s">
        <v>1012</v>
      </c>
      <c r="B316" s="25" t="s">
        <v>130</v>
      </c>
      <c r="C316" s="43" t="s">
        <v>574</v>
      </c>
      <c r="D316" s="44" t="s">
        <v>744</v>
      </c>
      <c r="E316" s="27" t="s">
        <v>1013</v>
      </c>
      <c r="F316" s="28" t="s">
        <v>54</v>
      </c>
      <c r="G316" s="45">
        <v>0</v>
      </c>
      <c r="H316" s="46">
        <v>138000</v>
      </c>
      <c r="I316" s="47">
        <f t="shared" si="14"/>
        <v>0</v>
      </c>
      <c r="J316" s="48" t="str">
        <f>IF(ABS(G316*H316-0)&lt;1,"✓ OK","⚠ ÉCART")</f>
        <v>✓ OK</v>
      </c>
    </row>
    <row r="317" spans="1:10" ht="15.75" customHeight="1" x14ac:dyDescent="0.25">
      <c r="A317" s="35" t="s">
        <v>1014</v>
      </c>
      <c r="B317" s="17" t="s">
        <v>130</v>
      </c>
      <c r="C317" s="36" t="s">
        <v>574</v>
      </c>
      <c r="D317" s="37" t="s">
        <v>744</v>
      </c>
      <c r="E317" s="19" t="s">
        <v>1015</v>
      </c>
      <c r="F317" s="20" t="s">
        <v>54</v>
      </c>
      <c r="G317" s="38">
        <v>0</v>
      </c>
      <c r="H317" s="39">
        <v>138000</v>
      </c>
      <c r="I317" s="40">
        <f t="shared" si="14"/>
        <v>0</v>
      </c>
      <c r="J317" s="41" t="str">
        <f>IF(ABS(G317*H317-0)&lt;1,"✓ OK","⚠ ÉCART")</f>
        <v>✓ OK</v>
      </c>
    </row>
    <row r="318" spans="1:10" ht="15.75" customHeight="1" x14ac:dyDescent="0.25">
      <c r="A318" s="6" t="s">
        <v>1016</v>
      </c>
      <c r="B318" s="6"/>
      <c r="C318" s="6"/>
      <c r="D318" s="6"/>
      <c r="E318" s="6"/>
      <c r="F318" s="6"/>
      <c r="G318" s="6"/>
      <c r="H318" s="6"/>
      <c r="I318" s="6"/>
      <c r="J318" s="6"/>
    </row>
    <row r="319" spans="1:10" ht="15.75" customHeight="1" x14ac:dyDescent="0.25">
      <c r="A319" s="35" t="s">
        <v>1017</v>
      </c>
      <c r="B319" s="17" t="s">
        <v>130</v>
      </c>
      <c r="C319" s="36" t="s">
        <v>574</v>
      </c>
      <c r="D319" s="37" t="s">
        <v>772</v>
      </c>
      <c r="E319" s="19" t="s">
        <v>1004</v>
      </c>
      <c r="F319" s="20" t="s">
        <v>54</v>
      </c>
      <c r="G319" s="38">
        <v>9.6</v>
      </c>
      <c r="H319" s="39">
        <v>138000</v>
      </c>
      <c r="I319" s="40">
        <f t="shared" ref="I319:I327" si="15">G319*H319</f>
        <v>1324800</v>
      </c>
      <c r="J319" s="41" t="str">
        <f>IF(ABS(G319*H319-1324800)&lt;1,"✓ OK","⚠ ÉCART")</f>
        <v>✓ OK</v>
      </c>
    </row>
    <row r="320" spans="1:10" ht="15.75" customHeight="1" x14ac:dyDescent="0.25">
      <c r="A320" s="42" t="s">
        <v>1018</v>
      </c>
      <c r="B320" s="25" t="s">
        <v>130</v>
      </c>
      <c r="C320" s="43" t="s">
        <v>574</v>
      </c>
      <c r="D320" s="44" t="s">
        <v>772</v>
      </c>
      <c r="E320" s="27" t="s">
        <v>1006</v>
      </c>
      <c r="F320" s="28" t="s">
        <v>54</v>
      </c>
      <c r="G320" s="45">
        <v>7.2</v>
      </c>
      <c r="H320" s="46">
        <v>138000</v>
      </c>
      <c r="I320" s="47">
        <f t="shared" si="15"/>
        <v>993600</v>
      </c>
      <c r="J320" s="48" t="str">
        <f>IF(ABS(G320*H320-993600)&lt;1,"✓ OK","⚠ ÉCART")</f>
        <v>✓ OK</v>
      </c>
    </row>
    <row r="321" spans="1:10" ht="15.75" customHeight="1" x14ac:dyDescent="0.25">
      <c r="A321" s="35" t="s">
        <v>1019</v>
      </c>
      <c r="B321" s="17" t="s">
        <v>130</v>
      </c>
      <c r="C321" s="36" t="s">
        <v>574</v>
      </c>
      <c r="D321" s="37" t="s">
        <v>772</v>
      </c>
      <c r="E321" s="19" t="s">
        <v>992</v>
      </c>
      <c r="F321" s="20" t="s">
        <v>54</v>
      </c>
      <c r="G321" s="38">
        <v>5.4</v>
      </c>
      <c r="H321" s="39">
        <v>138000</v>
      </c>
      <c r="I321" s="40">
        <f t="shared" si="15"/>
        <v>745200</v>
      </c>
      <c r="J321" s="41" t="str">
        <f>IF(ABS(G321*H321-745200)&lt;1,"✓ OK","⚠ ÉCART")</f>
        <v>✓ OK</v>
      </c>
    </row>
    <row r="322" spans="1:10" ht="15.75" customHeight="1" x14ac:dyDescent="0.25">
      <c r="A322" s="42" t="s">
        <v>1020</v>
      </c>
      <c r="B322" s="25" t="s">
        <v>130</v>
      </c>
      <c r="C322" s="43" t="s">
        <v>574</v>
      </c>
      <c r="D322" s="44" t="s">
        <v>772</v>
      </c>
      <c r="E322" s="27" t="s">
        <v>961</v>
      </c>
      <c r="F322" s="28" t="s">
        <v>54</v>
      </c>
      <c r="G322" s="45">
        <v>1.08</v>
      </c>
      <c r="H322" s="46">
        <v>138000</v>
      </c>
      <c r="I322" s="47">
        <f t="shared" si="15"/>
        <v>149040</v>
      </c>
      <c r="J322" s="48" t="str">
        <f>IF(ABS(G322*H322-149040)&lt;1,"✓ OK","⚠ ÉCART")</f>
        <v>✓ OK</v>
      </c>
    </row>
    <row r="323" spans="1:10" ht="15.75" customHeight="1" x14ac:dyDescent="0.25">
      <c r="A323" s="35" t="s">
        <v>1021</v>
      </c>
      <c r="B323" s="17" t="s">
        <v>130</v>
      </c>
      <c r="C323" s="36" t="s">
        <v>574</v>
      </c>
      <c r="D323" s="37" t="s">
        <v>772</v>
      </c>
      <c r="E323" s="19" t="s">
        <v>963</v>
      </c>
      <c r="F323" s="20" t="s">
        <v>54</v>
      </c>
      <c r="G323" s="38">
        <v>0.72</v>
      </c>
      <c r="H323" s="39">
        <v>138000</v>
      </c>
      <c r="I323" s="40">
        <f t="shared" si="15"/>
        <v>99360</v>
      </c>
      <c r="J323" s="41" t="str">
        <f>IF(ABS(G323*H323-99360)&lt;1,"✓ OK","⚠ ÉCART")</f>
        <v>✓ OK</v>
      </c>
    </row>
    <row r="324" spans="1:10" ht="15.75" customHeight="1" x14ac:dyDescent="0.25">
      <c r="A324" s="42" t="s">
        <v>1022</v>
      </c>
      <c r="B324" s="25" t="s">
        <v>130</v>
      </c>
      <c r="C324" s="43" t="s">
        <v>574</v>
      </c>
      <c r="D324" s="44" t="s">
        <v>772</v>
      </c>
      <c r="E324" s="27" t="s">
        <v>985</v>
      </c>
      <c r="F324" s="28" t="s">
        <v>54</v>
      </c>
      <c r="G324" s="45">
        <v>26.88</v>
      </c>
      <c r="H324" s="46">
        <v>138000</v>
      </c>
      <c r="I324" s="47">
        <f t="shared" si="15"/>
        <v>3709440</v>
      </c>
      <c r="J324" s="48" t="str">
        <f>IF(ABS(G324*H324-3709440)&lt;1,"✓ OK","⚠ ÉCART")</f>
        <v>✓ OK</v>
      </c>
    </row>
    <row r="325" spans="1:10" ht="15.75" customHeight="1" x14ac:dyDescent="0.25">
      <c r="A325" s="35" t="s">
        <v>1023</v>
      </c>
      <c r="B325" s="17" t="s">
        <v>130</v>
      </c>
      <c r="C325" s="36" t="s">
        <v>574</v>
      </c>
      <c r="D325" s="37" t="s">
        <v>772</v>
      </c>
      <c r="E325" s="19" t="s">
        <v>967</v>
      </c>
      <c r="F325" s="20" t="s">
        <v>54</v>
      </c>
      <c r="G325" s="38">
        <v>13.2</v>
      </c>
      <c r="H325" s="39">
        <v>138000</v>
      </c>
      <c r="I325" s="40">
        <f t="shared" si="15"/>
        <v>1821600</v>
      </c>
      <c r="J325" s="41" t="str">
        <f>IF(ABS(G325*H325-1821600)&lt;1,"✓ OK","⚠ ÉCART")</f>
        <v>✓ OK</v>
      </c>
    </row>
    <row r="326" spans="1:10" ht="15.75" customHeight="1" x14ac:dyDescent="0.25">
      <c r="A326" s="42" t="s">
        <v>1024</v>
      </c>
      <c r="B326" s="25" t="s">
        <v>130</v>
      </c>
      <c r="C326" s="43" t="s">
        <v>574</v>
      </c>
      <c r="D326" s="44" t="s">
        <v>772</v>
      </c>
      <c r="E326" s="27" t="s">
        <v>1013</v>
      </c>
      <c r="F326" s="28" t="s">
        <v>54</v>
      </c>
      <c r="G326" s="45">
        <v>0</v>
      </c>
      <c r="H326" s="46">
        <v>138000</v>
      </c>
      <c r="I326" s="47">
        <f t="shared" si="15"/>
        <v>0</v>
      </c>
      <c r="J326" s="48" t="str">
        <f>IF(ABS(G326*H326-0)&lt;1,"✓ OK","⚠ ÉCART")</f>
        <v>✓ OK</v>
      </c>
    </row>
    <row r="327" spans="1:10" ht="15.75" customHeight="1" x14ac:dyDescent="0.25">
      <c r="A327" s="35" t="s">
        <v>1025</v>
      </c>
      <c r="B327" s="17" t="s">
        <v>130</v>
      </c>
      <c r="C327" s="36" t="s">
        <v>574</v>
      </c>
      <c r="D327" s="37" t="s">
        <v>772</v>
      </c>
      <c r="E327" s="19" t="s">
        <v>1015</v>
      </c>
      <c r="F327" s="20" t="s">
        <v>54</v>
      </c>
      <c r="G327" s="38">
        <v>0</v>
      </c>
      <c r="H327" s="39">
        <v>138000</v>
      </c>
      <c r="I327" s="40">
        <f t="shared" si="15"/>
        <v>0</v>
      </c>
      <c r="J327" s="41" t="str">
        <f>IF(ABS(G327*H327-0)&lt;1,"✓ OK","⚠ ÉCART")</f>
        <v>✓ OK</v>
      </c>
    </row>
    <row r="328" spans="1:10" ht="15.75" customHeight="1" x14ac:dyDescent="0.25">
      <c r="A328" s="6" t="s">
        <v>1026</v>
      </c>
      <c r="B328" s="6"/>
      <c r="C328" s="6"/>
      <c r="D328" s="6"/>
      <c r="E328" s="6"/>
      <c r="F328" s="6"/>
      <c r="G328" s="6"/>
      <c r="H328" s="6"/>
      <c r="I328" s="6"/>
      <c r="J328" s="6"/>
    </row>
    <row r="329" spans="1:10" ht="15.75" customHeight="1" x14ac:dyDescent="0.25">
      <c r="A329" s="35" t="s">
        <v>1027</v>
      </c>
      <c r="B329" s="17" t="s">
        <v>130</v>
      </c>
      <c r="C329" s="36" t="s">
        <v>578</v>
      </c>
      <c r="D329" s="37" t="s">
        <v>575</v>
      </c>
      <c r="E329" s="19" t="s">
        <v>976</v>
      </c>
      <c r="F329" s="20" t="s">
        <v>54</v>
      </c>
      <c r="G329" s="38">
        <v>1.44</v>
      </c>
      <c r="H329" s="39">
        <v>138000</v>
      </c>
      <c r="I329" s="40">
        <f t="shared" ref="I329:I334" si="16">G329*H329</f>
        <v>198720</v>
      </c>
      <c r="J329" s="41" t="str">
        <f>IF(ABS(G329*H329-198720)&lt;1,"✓ OK","⚠ ÉCART")</f>
        <v>✓ OK</v>
      </c>
    </row>
    <row r="330" spans="1:10" ht="15.75" customHeight="1" x14ac:dyDescent="0.25">
      <c r="A330" s="42" t="s">
        <v>1028</v>
      </c>
      <c r="B330" s="25" t="s">
        <v>130</v>
      </c>
      <c r="C330" s="43" t="s">
        <v>578</v>
      </c>
      <c r="D330" s="44" t="s">
        <v>575</v>
      </c>
      <c r="E330" s="27" t="s">
        <v>1029</v>
      </c>
      <c r="F330" s="28" t="s">
        <v>54</v>
      </c>
      <c r="G330" s="45">
        <v>0.96</v>
      </c>
      <c r="H330" s="46">
        <v>138000</v>
      </c>
      <c r="I330" s="47">
        <f t="shared" si="16"/>
        <v>132480</v>
      </c>
      <c r="J330" s="48" t="str">
        <f>IF(ABS(G330*H330-132480)&lt;1,"✓ OK","⚠ ÉCART")</f>
        <v>✓ OK</v>
      </c>
    </row>
    <row r="331" spans="1:10" ht="15.75" customHeight="1" x14ac:dyDescent="0.25">
      <c r="A331" s="35" t="s">
        <v>1030</v>
      </c>
      <c r="B331" s="17" t="s">
        <v>130</v>
      </c>
      <c r="C331" s="36" t="s">
        <v>578</v>
      </c>
      <c r="D331" s="37" t="s">
        <v>575</v>
      </c>
      <c r="E331" s="19" t="s">
        <v>963</v>
      </c>
      <c r="F331" s="20" t="s">
        <v>54</v>
      </c>
      <c r="G331" s="38">
        <v>0.36</v>
      </c>
      <c r="H331" s="39">
        <v>138000</v>
      </c>
      <c r="I331" s="40">
        <f t="shared" si="16"/>
        <v>49680</v>
      </c>
      <c r="J331" s="41" t="str">
        <f>IF(ABS(G331*H331-49680)&lt;1,"✓ OK","⚠ ÉCART")</f>
        <v>✓ OK</v>
      </c>
    </row>
    <row r="332" spans="1:10" ht="15.75" customHeight="1" x14ac:dyDescent="0.25">
      <c r="A332" s="42" t="s">
        <v>1031</v>
      </c>
      <c r="B332" s="25" t="s">
        <v>130</v>
      </c>
      <c r="C332" s="43" t="s">
        <v>578</v>
      </c>
      <c r="D332" s="44" t="s">
        <v>575</v>
      </c>
      <c r="E332" s="27" t="s">
        <v>967</v>
      </c>
      <c r="F332" s="28" t="s">
        <v>54</v>
      </c>
      <c r="G332" s="45">
        <v>6.6</v>
      </c>
      <c r="H332" s="46">
        <v>138000</v>
      </c>
      <c r="I332" s="47">
        <f t="shared" si="16"/>
        <v>910800</v>
      </c>
      <c r="J332" s="48" t="str">
        <f>IF(ABS(G332*H332-910800)&lt;1,"✓ OK","⚠ ÉCART")</f>
        <v>✓ OK</v>
      </c>
    </row>
    <row r="333" spans="1:10" ht="15.75" customHeight="1" x14ac:dyDescent="0.25">
      <c r="A333" s="35" t="s">
        <v>1032</v>
      </c>
      <c r="B333" s="17" t="s">
        <v>130</v>
      </c>
      <c r="C333" s="36" t="s">
        <v>578</v>
      </c>
      <c r="D333" s="37" t="s">
        <v>575</v>
      </c>
      <c r="E333" s="19" t="s">
        <v>971</v>
      </c>
      <c r="F333" s="20" t="s">
        <v>54</v>
      </c>
      <c r="G333" s="38">
        <v>11.88</v>
      </c>
      <c r="H333" s="39">
        <v>138000</v>
      </c>
      <c r="I333" s="40">
        <f t="shared" si="16"/>
        <v>1639440</v>
      </c>
      <c r="J333" s="41" t="str">
        <f>IF(ABS(G333*H333-1639440)&lt;1,"✓ OK","⚠ ÉCART")</f>
        <v>✓ OK</v>
      </c>
    </row>
    <row r="334" spans="1:10" ht="15.75" customHeight="1" x14ac:dyDescent="0.25">
      <c r="A334" s="42" t="s">
        <v>1033</v>
      </c>
      <c r="B334" s="25" t="s">
        <v>130</v>
      </c>
      <c r="C334" s="43" t="s">
        <v>578</v>
      </c>
      <c r="D334" s="44" t="s">
        <v>575</v>
      </c>
      <c r="E334" s="27" t="s">
        <v>973</v>
      </c>
      <c r="F334" s="28" t="s">
        <v>54</v>
      </c>
      <c r="G334" s="45">
        <v>5.28</v>
      </c>
      <c r="H334" s="46">
        <v>138000</v>
      </c>
      <c r="I334" s="47">
        <f t="shared" si="16"/>
        <v>728640</v>
      </c>
      <c r="J334" s="48" t="str">
        <f>IF(ABS(G334*H334-728640)&lt;1,"✓ OK","⚠ ÉCART")</f>
        <v>✓ OK</v>
      </c>
    </row>
    <row r="335" spans="1:10" ht="15.75" customHeight="1" x14ac:dyDescent="0.25">
      <c r="A335" s="6" t="s">
        <v>1034</v>
      </c>
      <c r="B335" s="6"/>
      <c r="C335" s="6"/>
      <c r="D335" s="6"/>
      <c r="E335" s="6"/>
      <c r="F335" s="6"/>
      <c r="G335" s="6"/>
      <c r="H335" s="6"/>
      <c r="I335" s="6"/>
      <c r="J335" s="6"/>
    </row>
    <row r="336" spans="1:10" ht="15.75" customHeight="1" x14ac:dyDescent="0.25">
      <c r="A336" s="42" t="s">
        <v>1035</v>
      </c>
      <c r="B336" s="25" t="s">
        <v>130</v>
      </c>
      <c r="C336" s="43" t="s">
        <v>578</v>
      </c>
      <c r="D336" s="44" t="s">
        <v>579</v>
      </c>
      <c r="E336" s="27" t="s">
        <v>1036</v>
      </c>
      <c r="F336" s="28" t="s">
        <v>54</v>
      </c>
      <c r="G336" s="45">
        <v>19.2</v>
      </c>
      <c r="H336" s="46">
        <v>138000</v>
      </c>
      <c r="I336" s="47">
        <f t="shared" ref="I336:I343" si="17">G336*H336</f>
        <v>2649600</v>
      </c>
      <c r="J336" s="48" t="str">
        <f>IF(ABS(G336*H336-2649600)&lt;1,"✓ OK","⚠ ÉCART")</f>
        <v>✓ OK</v>
      </c>
    </row>
    <row r="337" spans="1:10" ht="15.75" customHeight="1" x14ac:dyDescent="0.25">
      <c r="A337" s="35" t="s">
        <v>1037</v>
      </c>
      <c r="B337" s="17" t="s">
        <v>130</v>
      </c>
      <c r="C337" s="36" t="s">
        <v>578</v>
      </c>
      <c r="D337" s="37" t="s">
        <v>579</v>
      </c>
      <c r="E337" s="19" t="s">
        <v>1038</v>
      </c>
      <c r="F337" s="20" t="s">
        <v>54</v>
      </c>
      <c r="G337" s="38">
        <v>8.89</v>
      </c>
      <c r="H337" s="39">
        <v>138000</v>
      </c>
      <c r="I337" s="40">
        <f t="shared" si="17"/>
        <v>1226820</v>
      </c>
      <c r="J337" s="41" t="str">
        <f>IF(ABS(G337*H337-1226820)&lt;1,"✓ OK","⚠ ÉCART")</f>
        <v>✓ OK</v>
      </c>
    </row>
    <row r="338" spans="1:10" ht="15.75" customHeight="1" x14ac:dyDescent="0.25">
      <c r="A338" s="42" t="s">
        <v>1039</v>
      </c>
      <c r="B338" s="25" t="s">
        <v>130</v>
      </c>
      <c r="C338" s="43" t="s">
        <v>578</v>
      </c>
      <c r="D338" s="44" t="s">
        <v>579</v>
      </c>
      <c r="E338" s="27" t="s">
        <v>1040</v>
      </c>
      <c r="F338" s="28" t="s">
        <v>54</v>
      </c>
      <c r="G338" s="45">
        <v>24.95</v>
      </c>
      <c r="H338" s="46">
        <v>138000</v>
      </c>
      <c r="I338" s="47">
        <f t="shared" si="17"/>
        <v>3443100</v>
      </c>
      <c r="J338" s="48" t="str">
        <f>IF(ABS(G338*H338-3443100)&lt;1,"✓ OK","⚠ ÉCART")</f>
        <v>✓ OK</v>
      </c>
    </row>
    <row r="339" spans="1:10" ht="15.75" customHeight="1" x14ac:dyDescent="0.25">
      <c r="A339" s="35" t="s">
        <v>1041</v>
      </c>
      <c r="B339" s="17" t="s">
        <v>130</v>
      </c>
      <c r="C339" s="36" t="s">
        <v>578</v>
      </c>
      <c r="D339" s="37" t="s">
        <v>579</v>
      </c>
      <c r="E339" s="19" t="s">
        <v>1042</v>
      </c>
      <c r="F339" s="20" t="s">
        <v>54</v>
      </c>
      <c r="G339" s="38">
        <v>12.47</v>
      </c>
      <c r="H339" s="39">
        <v>138000</v>
      </c>
      <c r="I339" s="40">
        <f t="shared" si="17"/>
        <v>1720860</v>
      </c>
      <c r="J339" s="41" t="str">
        <f>IF(ABS(G339*H339-1720860)&lt;1,"✓ OK","⚠ ÉCART")</f>
        <v>✓ OK</v>
      </c>
    </row>
    <row r="340" spans="1:10" ht="15.75" customHeight="1" x14ac:dyDescent="0.25">
      <c r="A340" s="42" t="s">
        <v>1043</v>
      </c>
      <c r="B340" s="25" t="s">
        <v>130</v>
      </c>
      <c r="C340" s="43" t="s">
        <v>578</v>
      </c>
      <c r="D340" s="44" t="s">
        <v>579</v>
      </c>
      <c r="E340" s="27" t="s">
        <v>963</v>
      </c>
      <c r="F340" s="28" t="s">
        <v>54</v>
      </c>
      <c r="G340" s="45">
        <v>0.36</v>
      </c>
      <c r="H340" s="46">
        <v>138000</v>
      </c>
      <c r="I340" s="47">
        <f t="shared" si="17"/>
        <v>49680</v>
      </c>
      <c r="J340" s="48" t="str">
        <f>IF(ABS(G340*H340-49680)&lt;1,"✓ OK","⚠ ÉCART")</f>
        <v>✓ OK</v>
      </c>
    </row>
    <row r="341" spans="1:10" ht="15.75" customHeight="1" x14ac:dyDescent="0.25">
      <c r="A341" s="35" t="s">
        <v>1044</v>
      </c>
      <c r="B341" s="17" t="s">
        <v>130</v>
      </c>
      <c r="C341" s="36" t="s">
        <v>578</v>
      </c>
      <c r="D341" s="37" t="s">
        <v>579</v>
      </c>
      <c r="E341" s="19" t="s">
        <v>985</v>
      </c>
      <c r="F341" s="20" t="s">
        <v>54</v>
      </c>
      <c r="G341" s="38">
        <v>28.18</v>
      </c>
      <c r="H341" s="39">
        <v>138000</v>
      </c>
      <c r="I341" s="40">
        <f t="shared" si="17"/>
        <v>3888840</v>
      </c>
      <c r="J341" s="41" t="str">
        <f>IF(ABS(G341*H341-3888840)&lt;1,"✓ OK","⚠ ÉCART")</f>
        <v>✓ OK</v>
      </c>
    </row>
    <row r="342" spans="1:10" ht="15.75" customHeight="1" x14ac:dyDescent="0.25">
      <c r="A342" s="42" t="s">
        <v>1045</v>
      </c>
      <c r="B342" s="25" t="s">
        <v>130</v>
      </c>
      <c r="C342" s="43" t="s">
        <v>578</v>
      </c>
      <c r="D342" s="44" t="s">
        <v>579</v>
      </c>
      <c r="E342" s="27" t="s">
        <v>967</v>
      </c>
      <c r="F342" s="28" t="s">
        <v>54</v>
      </c>
      <c r="G342" s="45">
        <v>3.3</v>
      </c>
      <c r="H342" s="46">
        <v>138000</v>
      </c>
      <c r="I342" s="47">
        <f t="shared" si="17"/>
        <v>455400</v>
      </c>
      <c r="J342" s="48" t="str">
        <f>IF(ABS(G342*H342-455400)&lt;1,"✓ OK","⚠ ÉCART")</f>
        <v>✓ OK</v>
      </c>
    </row>
    <row r="343" spans="1:10" ht="15.75" customHeight="1" x14ac:dyDescent="0.25">
      <c r="A343" s="35" t="s">
        <v>1046</v>
      </c>
      <c r="B343" s="17" t="s">
        <v>130</v>
      </c>
      <c r="C343" s="36" t="s">
        <v>578</v>
      </c>
      <c r="D343" s="37" t="s">
        <v>579</v>
      </c>
      <c r="E343" s="19" t="s">
        <v>973</v>
      </c>
      <c r="F343" s="20" t="s">
        <v>54</v>
      </c>
      <c r="G343" s="38">
        <v>5.28</v>
      </c>
      <c r="H343" s="39">
        <v>138000</v>
      </c>
      <c r="I343" s="40">
        <f t="shared" si="17"/>
        <v>728640</v>
      </c>
      <c r="J343" s="41" t="str">
        <f>IF(ABS(G343*H343-728640)&lt;1,"✓ OK","⚠ ÉCART")</f>
        <v>✓ OK</v>
      </c>
    </row>
    <row r="344" spans="1:10" ht="19.5" customHeight="1" x14ac:dyDescent="0.25">
      <c r="A344" s="7" t="s">
        <v>1047</v>
      </c>
      <c r="B344" s="7"/>
      <c r="C344" s="7"/>
      <c r="D344" s="7"/>
      <c r="E344" s="7"/>
      <c r="F344" s="7"/>
      <c r="G344" s="7"/>
      <c r="H344" s="7"/>
      <c r="I344" s="7"/>
      <c r="J344" s="7"/>
    </row>
    <row r="345" spans="1:10" ht="15.75" customHeight="1" x14ac:dyDescent="0.25">
      <c r="A345" s="6" t="s">
        <v>1048</v>
      </c>
      <c r="B345" s="6"/>
      <c r="C345" s="6"/>
      <c r="D345" s="6"/>
      <c r="E345" s="6"/>
      <c r="F345" s="6"/>
      <c r="G345" s="6"/>
      <c r="H345" s="6"/>
      <c r="I345" s="6"/>
      <c r="J345" s="6"/>
    </row>
    <row r="346" spans="1:10" ht="15.75" customHeight="1" x14ac:dyDescent="0.25">
      <c r="A346" s="42" t="s">
        <v>1049</v>
      </c>
      <c r="B346" s="25" t="s">
        <v>139</v>
      </c>
      <c r="C346" s="43" t="s">
        <v>574</v>
      </c>
      <c r="D346" s="44" t="s">
        <v>575</v>
      </c>
      <c r="E346" s="27" t="s">
        <v>1050</v>
      </c>
      <c r="F346" s="28" t="s">
        <v>142</v>
      </c>
      <c r="G346" s="45">
        <v>1</v>
      </c>
      <c r="H346" s="46">
        <v>345000</v>
      </c>
      <c r="I346" s="47">
        <f>G346*H346</f>
        <v>345000</v>
      </c>
      <c r="J346" s="48" t="str">
        <f>IF(ABS(G346*H346-345000)&lt;1,"✓ OK","⚠ ÉCART")</f>
        <v>✓ OK</v>
      </c>
    </row>
    <row r="347" spans="1:10" ht="15.75" customHeight="1" x14ac:dyDescent="0.25">
      <c r="A347" s="35" t="s">
        <v>1051</v>
      </c>
      <c r="B347" s="17" t="s">
        <v>139</v>
      </c>
      <c r="C347" s="36" t="s">
        <v>574</v>
      </c>
      <c r="D347" s="37" t="s">
        <v>575</v>
      </c>
      <c r="E347" s="19" t="s">
        <v>1052</v>
      </c>
      <c r="F347" s="20" t="s">
        <v>142</v>
      </c>
      <c r="G347" s="38">
        <v>1</v>
      </c>
      <c r="H347" s="39">
        <v>230000</v>
      </c>
      <c r="I347" s="40">
        <f>G347*H347</f>
        <v>230000</v>
      </c>
      <c r="J347" s="41" t="str">
        <f>IF(ABS(G347*H347-230000)&lt;1,"✓ OK","⚠ ÉCART")</f>
        <v>✓ OK</v>
      </c>
    </row>
    <row r="348" spans="1:10" ht="15.75" customHeight="1" x14ac:dyDescent="0.25">
      <c r="A348" s="6" t="s">
        <v>1053</v>
      </c>
      <c r="B348" s="6"/>
      <c r="C348" s="6"/>
      <c r="D348" s="6"/>
      <c r="E348" s="6"/>
      <c r="F348" s="6"/>
      <c r="G348" s="6"/>
      <c r="H348" s="6"/>
      <c r="I348" s="6"/>
      <c r="J348" s="6"/>
    </row>
    <row r="349" spans="1:10" ht="15.75" customHeight="1" x14ac:dyDescent="0.25">
      <c r="A349" s="35" t="s">
        <v>1054</v>
      </c>
      <c r="B349" s="17" t="s">
        <v>139</v>
      </c>
      <c r="C349" s="36" t="s">
        <v>578</v>
      </c>
      <c r="D349" s="37" t="s">
        <v>575</v>
      </c>
      <c r="E349" s="19" t="s">
        <v>1055</v>
      </c>
      <c r="F349" s="20" t="s">
        <v>54</v>
      </c>
      <c r="G349" s="38">
        <v>43.16</v>
      </c>
      <c r="H349" s="39">
        <v>189750</v>
      </c>
      <c r="I349" s="40">
        <f>G349*H349</f>
        <v>8189609.9999999991</v>
      </c>
      <c r="J349" s="41" t="str">
        <f>IF(ABS(G349*H349-8189610)&lt;1,"✓ OK","⚠ ÉCART")</f>
        <v>✓ OK</v>
      </c>
    </row>
    <row r="350" spans="1:10" ht="15.75" customHeight="1" x14ac:dyDescent="0.25">
      <c r="A350" s="42" t="s">
        <v>1056</v>
      </c>
      <c r="B350" s="25" t="s">
        <v>139</v>
      </c>
      <c r="C350" s="43" t="s">
        <v>578</v>
      </c>
      <c r="D350" s="44" t="s">
        <v>575</v>
      </c>
      <c r="E350" s="27" t="s">
        <v>1057</v>
      </c>
      <c r="F350" s="28" t="s">
        <v>142</v>
      </c>
      <c r="G350" s="45">
        <v>1</v>
      </c>
      <c r="H350" s="46">
        <v>1092500</v>
      </c>
      <c r="I350" s="47">
        <f>G350*H350</f>
        <v>1092500</v>
      </c>
      <c r="J350" s="48" t="str">
        <f>IF(ABS(G350*H350-1092500)&lt;1,"✓ OK","⚠ ÉCART")</f>
        <v>✓ OK</v>
      </c>
    </row>
    <row r="351" spans="1:10" ht="15.75" customHeight="1" x14ac:dyDescent="0.25">
      <c r="A351" s="35" t="s">
        <v>1058</v>
      </c>
      <c r="B351" s="17" t="s">
        <v>139</v>
      </c>
      <c r="C351" s="36" t="s">
        <v>578</v>
      </c>
      <c r="D351" s="37" t="s">
        <v>575</v>
      </c>
      <c r="E351" s="19" t="s">
        <v>1059</v>
      </c>
      <c r="F351" s="20" t="s">
        <v>54</v>
      </c>
      <c r="G351" s="38">
        <v>6.74</v>
      </c>
      <c r="H351" s="39">
        <v>97750</v>
      </c>
      <c r="I351" s="40">
        <f>G351*H351</f>
        <v>658835</v>
      </c>
      <c r="J351" s="41" t="str">
        <f>IF(ABS(G351*H351-658835)&lt;1,"✓ OK","⚠ ÉCART")</f>
        <v>✓ OK</v>
      </c>
    </row>
    <row r="352" spans="1:10" ht="15.75" customHeight="1" x14ac:dyDescent="0.25">
      <c r="A352" s="42" t="s">
        <v>1060</v>
      </c>
      <c r="B352" s="25" t="s">
        <v>139</v>
      </c>
      <c r="C352" s="43" t="s">
        <v>578</v>
      </c>
      <c r="D352" s="44" t="s">
        <v>575</v>
      </c>
      <c r="E352" s="27" t="s">
        <v>159</v>
      </c>
      <c r="F352" s="28" t="s">
        <v>54</v>
      </c>
      <c r="G352" s="45">
        <v>11.24</v>
      </c>
      <c r="H352" s="46">
        <v>97750</v>
      </c>
      <c r="I352" s="47">
        <f>G352*H352</f>
        <v>1098710</v>
      </c>
      <c r="J352" s="48" t="str">
        <f>IF(ABS(G352*H352-1098710)&lt;1,"✓ OK","⚠ ÉCART")</f>
        <v>✓ OK</v>
      </c>
    </row>
    <row r="353" spans="1:10" ht="19.5" customHeight="1" x14ac:dyDescent="0.25">
      <c r="A353" s="7" t="s">
        <v>1061</v>
      </c>
      <c r="B353" s="7"/>
      <c r="C353" s="7"/>
      <c r="D353" s="7"/>
      <c r="E353" s="7"/>
      <c r="F353" s="7"/>
      <c r="G353" s="7"/>
      <c r="H353" s="7"/>
      <c r="I353" s="7"/>
      <c r="J353" s="7"/>
    </row>
    <row r="354" spans="1:10" ht="15.75" customHeight="1" x14ac:dyDescent="0.25">
      <c r="A354" s="6" t="s">
        <v>1062</v>
      </c>
      <c r="B354" s="6"/>
      <c r="C354" s="6"/>
      <c r="D354" s="6"/>
      <c r="E354" s="6"/>
      <c r="F354" s="6"/>
      <c r="G354" s="6"/>
      <c r="H354" s="6"/>
      <c r="I354" s="6"/>
      <c r="J354" s="6"/>
    </row>
    <row r="355" spans="1:10" ht="15.75" customHeight="1" x14ac:dyDescent="0.25">
      <c r="A355" s="35" t="s">
        <v>1063</v>
      </c>
      <c r="B355" s="17" t="s">
        <v>162</v>
      </c>
      <c r="C355" s="36" t="s">
        <v>574</v>
      </c>
      <c r="D355" s="37" t="s">
        <v>579</v>
      </c>
      <c r="E355" s="19" t="s">
        <v>1064</v>
      </c>
      <c r="F355" s="20" t="s">
        <v>142</v>
      </c>
      <c r="G355" s="38">
        <v>1</v>
      </c>
      <c r="H355" s="39">
        <v>759000</v>
      </c>
      <c r="I355" s="40">
        <f t="shared" ref="I355:I360" si="18">G355*H355</f>
        <v>759000</v>
      </c>
      <c r="J355" s="41" t="str">
        <f>IF(ABS(G355*H355-759000)&lt;1,"✓ OK","⚠ ÉCART")</f>
        <v>✓ OK</v>
      </c>
    </row>
    <row r="356" spans="1:10" ht="15.75" customHeight="1" x14ac:dyDescent="0.25">
      <c r="A356" s="42" t="s">
        <v>1065</v>
      </c>
      <c r="B356" s="25" t="s">
        <v>162</v>
      </c>
      <c r="C356" s="43" t="s">
        <v>574</v>
      </c>
      <c r="D356" s="44" t="s">
        <v>579</v>
      </c>
      <c r="E356" s="27" t="s">
        <v>1066</v>
      </c>
      <c r="F356" s="28" t="s">
        <v>142</v>
      </c>
      <c r="G356" s="45">
        <v>1</v>
      </c>
      <c r="H356" s="46">
        <v>869400</v>
      </c>
      <c r="I356" s="47">
        <f t="shared" si="18"/>
        <v>869400</v>
      </c>
      <c r="J356" s="48" t="str">
        <f>IF(ABS(G356*H356-869400)&lt;1,"✓ OK","⚠ ÉCART")</f>
        <v>✓ OK</v>
      </c>
    </row>
    <row r="357" spans="1:10" ht="15.75" customHeight="1" x14ac:dyDescent="0.25">
      <c r="A357" s="35" t="s">
        <v>1067</v>
      </c>
      <c r="B357" s="17" t="s">
        <v>162</v>
      </c>
      <c r="C357" s="36" t="s">
        <v>574</v>
      </c>
      <c r="D357" s="37" t="s">
        <v>579</v>
      </c>
      <c r="E357" s="19" t="s">
        <v>1068</v>
      </c>
      <c r="F357" s="20" t="s">
        <v>142</v>
      </c>
      <c r="G357" s="38">
        <v>1</v>
      </c>
      <c r="H357" s="39">
        <v>593400</v>
      </c>
      <c r="I357" s="40">
        <f t="shared" si="18"/>
        <v>593400</v>
      </c>
      <c r="J357" s="41" t="str">
        <f>IF(ABS(G357*H357-593400)&lt;1,"✓ OK","⚠ ÉCART")</f>
        <v>✓ OK</v>
      </c>
    </row>
    <row r="358" spans="1:10" ht="15.75" customHeight="1" x14ac:dyDescent="0.25">
      <c r="A358" s="42" t="s">
        <v>1069</v>
      </c>
      <c r="B358" s="25" t="s">
        <v>162</v>
      </c>
      <c r="C358" s="43" t="s">
        <v>574</v>
      </c>
      <c r="D358" s="44" t="s">
        <v>579</v>
      </c>
      <c r="E358" s="27" t="s">
        <v>1070</v>
      </c>
      <c r="F358" s="28" t="s">
        <v>142</v>
      </c>
      <c r="G358" s="45">
        <v>1</v>
      </c>
      <c r="H358" s="46">
        <v>626520</v>
      </c>
      <c r="I358" s="47">
        <f t="shared" si="18"/>
        <v>626520</v>
      </c>
      <c r="J358" s="48" t="str">
        <f>IF(ABS(G358*H358-626520)&lt;1,"✓ OK","⚠ ÉCART")</f>
        <v>✓ OK</v>
      </c>
    </row>
    <row r="359" spans="1:10" ht="15.75" customHeight="1" x14ac:dyDescent="0.25">
      <c r="A359" s="35" t="s">
        <v>1071</v>
      </c>
      <c r="B359" s="17" t="s">
        <v>162</v>
      </c>
      <c r="C359" s="36" t="s">
        <v>574</v>
      </c>
      <c r="D359" s="37" t="s">
        <v>579</v>
      </c>
      <c r="E359" s="19" t="s">
        <v>1072</v>
      </c>
      <c r="F359" s="20" t="s">
        <v>142</v>
      </c>
      <c r="G359" s="38">
        <v>1</v>
      </c>
      <c r="H359" s="39">
        <v>825240</v>
      </c>
      <c r="I359" s="40">
        <f t="shared" si="18"/>
        <v>825240</v>
      </c>
      <c r="J359" s="41" t="str">
        <f>IF(ABS(G359*H359-825240)&lt;1,"✓ OK","⚠ ÉCART")</f>
        <v>✓ OK</v>
      </c>
    </row>
    <row r="360" spans="1:10" ht="15.75" customHeight="1" x14ac:dyDescent="0.25">
      <c r="A360" s="42" t="s">
        <v>1073</v>
      </c>
      <c r="B360" s="25" t="s">
        <v>162</v>
      </c>
      <c r="C360" s="43" t="s">
        <v>574</v>
      </c>
      <c r="D360" s="44" t="s">
        <v>579</v>
      </c>
      <c r="E360" s="27" t="s">
        <v>1074</v>
      </c>
      <c r="F360" s="28" t="s">
        <v>142</v>
      </c>
      <c r="G360" s="45">
        <v>1</v>
      </c>
      <c r="H360" s="46">
        <v>897000</v>
      </c>
      <c r="I360" s="47">
        <f t="shared" si="18"/>
        <v>897000</v>
      </c>
      <c r="J360" s="48" t="str">
        <f>IF(ABS(G360*H360-897000)&lt;1,"✓ OK","⚠ ÉCART")</f>
        <v>✓ OK</v>
      </c>
    </row>
    <row r="361" spans="1:10" ht="15.75" customHeight="1" x14ac:dyDescent="0.25">
      <c r="A361" s="6" t="s">
        <v>1075</v>
      </c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5.75" customHeight="1" x14ac:dyDescent="0.25">
      <c r="A362" s="42" t="s">
        <v>1076</v>
      </c>
      <c r="B362" s="25" t="s">
        <v>162</v>
      </c>
      <c r="C362" s="43" t="s">
        <v>574</v>
      </c>
      <c r="D362" s="44" t="s">
        <v>744</v>
      </c>
      <c r="E362" s="27" t="s">
        <v>164</v>
      </c>
      <c r="F362" s="28" t="s">
        <v>142</v>
      </c>
      <c r="G362" s="45">
        <v>7</v>
      </c>
      <c r="H362" s="46">
        <v>341550</v>
      </c>
      <c r="I362" s="47">
        <f t="shared" ref="I362:I367" si="19">G362*H362</f>
        <v>2390850</v>
      </c>
      <c r="J362" s="48" t="str">
        <f>IF(ABS(G362*H362-2390850)&lt;1,"✓ OK","⚠ ÉCART")</f>
        <v>✓ OK</v>
      </c>
    </row>
    <row r="363" spans="1:10" ht="15.75" customHeight="1" x14ac:dyDescent="0.25">
      <c r="A363" s="35" t="s">
        <v>1077</v>
      </c>
      <c r="B363" s="17" t="s">
        <v>162</v>
      </c>
      <c r="C363" s="36" t="s">
        <v>574</v>
      </c>
      <c r="D363" s="37" t="s">
        <v>744</v>
      </c>
      <c r="E363" s="19" t="s">
        <v>167</v>
      </c>
      <c r="F363" s="20" t="s">
        <v>142</v>
      </c>
      <c r="G363" s="38">
        <v>6</v>
      </c>
      <c r="H363" s="39">
        <v>341550</v>
      </c>
      <c r="I363" s="40">
        <f t="shared" si="19"/>
        <v>2049300</v>
      </c>
      <c r="J363" s="41" t="str">
        <f>IF(ABS(G363*H363-2049300)&lt;1,"✓ OK","⚠ ÉCART")</f>
        <v>✓ OK</v>
      </c>
    </row>
    <row r="364" spans="1:10" ht="15.75" customHeight="1" x14ac:dyDescent="0.25">
      <c r="A364" s="42" t="s">
        <v>1078</v>
      </c>
      <c r="B364" s="25" t="s">
        <v>162</v>
      </c>
      <c r="C364" s="43" t="s">
        <v>574</v>
      </c>
      <c r="D364" s="44" t="s">
        <v>744</v>
      </c>
      <c r="E364" s="27" t="s">
        <v>1079</v>
      </c>
      <c r="F364" s="28" t="s">
        <v>142</v>
      </c>
      <c r="G364" s="45">
        <v>2</v>
      </c>
      <c r="H364" s="46">
        <v>1041900</v>
      </c>
      <c r="I364" s="47">
        <f t="shared" si="19"/>
        <v>2083800</v>
      </c>
      <c r="J364" s="48" t="str">
        <f>IF(ABS(G364*H364-2083800)&lt;1,"✓ OK","⚠ ÉCART")</f>
        <v>✓ OK</v>
      </c>
    </row>
    <row r="365" spans="1:10" ht="15.75" customHeight="1" x14ac:dyDescent="0.25">
      <c r="A365" s="35" t="s">
        <v>1080</v>
      </c>
      <c r="B365" s="17" t="s">
        <v>162</v>
      </c>
      <c r="C365" s="36" t="s">
        <v>574</v>
      </c>
      <c r="D365" s="37" t="s">
        <v>744</v>
      </c>
      <c r="E365" s="19" t="s">
        <v>1081</v>
      </c>
      <c r="F365" s="20" t="s">
        <v>142</v>
      </c>
      <c r="G365" s="38">
        <v>1</v>
      </c>
      <c r="H365" s="39">
        <v>621000</v>
      </c>
      <c r="I365" s="40">
        <f t="shared" si="19"/>
        <v>621000</v>
      </c>
      <c r="J365" s="41" t="str">
        <f>IF(ABS(G365*H365-621000)&lt;1,"✓ OK","⚠ ÉCART")</f>
        <v>✓ OK</v>
      </c>
    </row>
    <row r="366" spans="1:10" ht="15.75" customHeight="1" x14ac:dyDescent="0.25">
      <c r="A366" s="42" t="s">
        <v>1082</v>
      </c>
      <c r="B366" s="25" t="s">
        <v>162</v>
      </c>
      <c r="C366" s="43" t="s">
        <v>574</v>
      </c>
      <c r="D366" s="44" t="s">
        <v>744</v>
      </c>
      <c r="E366" s="27" t="s">
        <v>170</v>
      </c>
      <c r="F366" s="28" t="s">
        <v>112</v>
      </c>
      <c r="G366" s="45">
        <v>3.36</v>
      </c>
      <c r="H366" s="46">
        <v>345000</v>
      </c>
      <c r="I366" s="47">
        <f t="shared" si="19"/>
        <v>1159200</v>
      </c>
      <c r="J366" s="48" t="str">
        <f>IF(ABS(G366*H366-1159200)&lt;1,"✓ OK","⚠ ÉCART")</f>
        <v>✓ OK</v>
      </c>
    </row>
    <row r="367" spans="1:10" ht="15.75" customHeight="1" x14ac:dyDescent="0.25">
      <c r="A367" s="35" t="s">
        <v>1083</v>
      </c>
      <c r="B367" s="17" t="s">
        <v>162</v>
      </c>
      <c r="C367" s="36" t="s">
        <v>574</v>
      </c>
      <c r="D367" s="37" t="s">
        <v>744</v>
      </c>
      <c r="E367" s="19" t="s">
        <v>173</v>
      </c>
      <c r="F367" s="20" t="s">
        <v>112</v>
      </c>
      <c r="G367" s="38">
        <v>3.36</v>
      </c>
      <c r="H367" s="39">
        <v>402500</v>
      </c>
      <c r="I367" s="40">
        <f t="shared" si="19"/>
        <v>1352400</v>
      </c>
      <c r="J367" s="41" t="str">
        <f>IF(ABS(G367*H367-1352400)&lt;1,"✓ OK","⚠ ÉCART")</f>
        <v>✓ OK</v>
      </c>
    </row>
    <row r="368" spans="1:10" ht="15.75" customHeight="1" x14ac:dyDescent="0.25">
      <c r="A368" s="6" t="s">
        <v>1084</v>
      </c>
      <c r="B368" s="6"/>
      <c r="C368" s="6"/>
      <c r="D368" s="6"/>
      <c r="E368" s="6"/>
      <c r="F368" s="6"/>
      <c r="G368" s="6"/>
      <c r="H368" s="6"/>
      <c r="I368" s="6"/>
      <c r="J368" s="6"/>
    </row>
    <row r="369" spans="1:10" ht="15.75" customHeight="1" x14ac:dyDescent="0.25">
      <c r="A369" s="35" t="s">
        <v>1085</v>
      </c>
      <c r="B369" s="17" t="s">
        <v>162</v>
      </c>
      <c r="C369" s="36" t="s">
        <v>574</v>
      </c>
      <c r="D369" s="37" t="s">
        <v>772</v>
      </c>
      <c r="E369" s="19" t="s">
        <v>164</v>
      </c>
      <c r="F369" s="20" t="s">
        <v>142</v>
      </c>
      <c r="G369" s="38">
        <v>4</v>
      </c>
      <c r="H369" s="39">
        <v>341550</v>
      </c>
      <c r="I369" s="40">
        <f>G369*H369</f>
        <v>1366200</v>
      </c>
      <c r="J369" s="41" t="str">
        <f>IF(ABS(G369*H369-1366200)&lt;1,"✓ OK","⚠ ÉCART")</f>
        <v>✓ OK</v>
      </c>
    </row>
    <row r="370" spans="1:10" ht="15.75" customHeight="1" x14ac:dyDescent="0.25">
      <c r="A370" s="42" t="s">
        <v>1086</v>
      </c>
      <c r="B370" s="25" t="s">
        <v>162</v>
      </c>
      <c r="C370" s="43" t="s">
        <v>574</v>
      </c>
      <c r="D370" s="44" t="s">
        <v>772</v>
      </c>
      <c r="E370" s="27" t="s">
        <v>167</v>
      </c>
      <c r="F370" s="28" t="s">
        <v>142</v>
      </c>
      <c r="G370" s="45">
        <v>4</v>
      </c>
      <c r="H370" s="46">
        <v>341550</v>
      </c>
      <c r="I370" s="47">
        <f>G370*H370</f>
        <v>1366200</v>
      </c>
      <c r="J370" s="48" t="str">
        <f>IF(ABS(G370*H370-1366200)&lt;1,"✓ OK","⚠ ÉCART")</f>
        <v>✓ OK</v>
      </c>
    </row>
    <row r="371" spans="1:10" ht="15.75" customHeight="1" x14ac:dyDescent="0.25">
      <c r="A371" s="35" t="s">
        <v>1087</v>
      </c>
      <c r="B371" s="17" t="s">
        <v>162</v>
      </c>
      <c r="C371" s="36" t="s">
        <v>574</v>
      </c>
      <c r="D371" s="37" t="s">
        <v>772</v>
      </c>
      <c r="E371" s="19" t="s">
        <v>1088</v>
      </c>
      <c r="F371" s="20" t="s">
        <v>142</v>
      </c>
      <c r="G371" s="38">
        <v>2</v>
      </c>
      <c r="H371" s="39">
        <v>1035000</v>
      </c>
      <c r="I371" s="40">
        <f>G371*H371</f>
        <v>2070000</v>
      </c>
      <c r="J371" s="41" t="str">
        <f>IF(ABS(G371*H371-2070000)&lt;1,"✓ OK","⚠ ÉCART")</f>
        <v>✓ OK</v>
      </c>
    </row>
    <row r="372" spans="1:10" ht="15.75" customHeight="1" x14ac:dyDescent="0.25">
      <c r="A372" s="42" t="s">
        <v>1089</v>
      </c>
      <c r="B372" s="25" t="s">
        <v>162</v>
      </c>
      <c r="C372" s="43" t="s">
        <v>574</v>
      </c>
      <c r="D372" s="44" t="s">
        <v>772</v>
      </c>
      <c r="E372" s="27" t="s">
        <v>1090</v>
      </c>
      <c r="F372" s="28" t="s">
        <v>142</v>
      </c>
      <c r="G372" s="45">
        <v>2</v>
      </c>
      <c r="H372" s="46">
        <v>793500</v>
      </c>
      <c r="I372" s="47">
        <f>G372*H372</f>
        <v>1587000</v>
      </c>
      <c r="J372" s="48" t="str">
        <f>IF(ABS(G372*H372-1587000)&lt;1,"✓ OK","⚠ ÉCART")</f>
        <v>✓ OK</v>
      </c>
    </row>
    <row r="373" spans="1:10" ht="15.75" customHeight="1" x14ac:dyDescent="0.25">
      <c r="A373" s="6" t="s">
        <v>1091</v>
      </c>
      <c r="B373" s="6"/>
      <c r="C373" s="6"/>
      <c r="D373" s="6"/>
      <c r="E373" s="6"/>
      <c r="F373" s="6"/>
      <c r="G373" s="6"/>
      <c r="H373" s="6"/>
      <c r="I373" s="6"/>
      <c r="J373" s="6"/>
    </row>
    <row r="374" spans="1:10" ht="15.75" customHeight="1" x14ac:dyDescent="0.25">
      <c r="A374" s="42" t="s">
        <v>1092</v>
      </c>
      <c r="B374" s="25" t="s">
        <v>162</v>
      </c>
      <c r="C374" s="43" t="s">
        <v>578</v>
      </c>
      <c r="D374" s="44" t="s">
        <v>575</v>
      </c>
      <c r="E374" s="27" t="s">
        <v>170</v>
      </c>
      <c r="F374" s="28" t="s">
        <v>112</v>
      </c>
      <c r="G374" s="45">
        <v>2.94</v>
      </c>
      <c r="H374" s="46">
        <v>345000</v>
      </c>
      <c r="I374" s="47">
        <f>G374*H374</f>
        <v>1014300</v>
      </c>
      <c r="J374" s="48" t="str">
        <f>IF(ABS(G374*H374-1014300)&lt;1,"✓ OK","⚠ ÉCART")</f>
        <v>✓ OK</v>
      </c>
    </row>
    <row r="375" spans="1:10" ht="15.75" customHeight="1" x14ac:dyDescent="0.25">
      <c r="A375" s="35" t="s">
        <v>1093</v>
      </c>
      <c r="B375" s="17" t="s">
        <v>162</v>
      </c>
      <c r="C375" s="36" t="s">
        <v>578</v>
      </c>
      <c r="D375" s="37" t="s">
        <v>575</v>
      </c>
      <c r="E375" s="19" t="s">
        <v>173</v>
      </c>
      <c r="F375" s="20" t="s">
        <v>112</v>
      </c>
      <c r="G375" s="38">
        <v>2.94</v>
      </c>
      <c r="H375" s="39">
        <v>345000</v>
      </c>
      <c r="I375" s="40">
        <f>G375*H375</f>
        <v>1014300</v>
      </c>
      <c r="J375" s="41" t="str">
        <f>IF(ABS(G375*H375-1014300)&lt;1,"✓ OK","⚠ ÉCART")</f>
        <v>✓ OK</v>
      </c>
    </row>
    <row r="376" spans="1:10" ht="15.75" customHeight="1" x14ac:dyDescent="0.25">
      <c r="A376" s="42" t="s">
        <v>1094</v>
      </c>
      <c r="B376" s="25" t="s">
        <v>162</v>
      </c>
      <c r="C376" s="43" t="s">
        <v>578</v>
      </c>
      <c r="D376" s="44" t="s">
        <v>575</v>
      </c>
      <c r="E376" s="27" t="s">
        <v>176</v>
      </c>
      <c r="F376" s="28" t="s">
        <v>112</v>
      </c>
      <c r="G376" s="45">
        <v>2.25</v>
      </c>
      <c r="H376" s="46">
        <v>402500</v>
      </c>
      <c r="I376" s="47">
        <f>G376*H376</f>
        <v>905625</v>
      </c>
      <c r="J376" s="48" t="str">
        <f>IF(ABS(G376*H376-905625)&lt;1,"✓ OK","⚠ ÉCART")</f>
        <v>✓ OK</v>
      </c>
    </row>
    <row r="377" spans="1:10" ht="15.75" customHeight="1" x14ac:dyDescent="0.25">
      <c r="A377" s="35" t="s">
        <v>1095</v>
      </c>
      <c r="B377" s="17" t="s">
        <v>162</v>
      </c>
      <c r="C377" s="36" t="s">
        <v>578</v>
      </c>
      <c r="D377" s="37" t="s">
        <v>575</v>
      </c>
      <c r="E377" s="19" t="s">
        <v>180</v>
      </c>
      <c r="F377" s="20" t="s">
        <v>112</v>
      </c>
      <c r="G377" s="38">
        <v>2.25</v>
      </c>
      <c r="H377" s="39">
        <v>402500</v>
      </c>
      <c r="I377" s="40">
        <f>G377*H377</f>
        <v>905625</v>
      </c>
      <c r="J377" s="41" t="str">
        <f>IF(ABS(G377*H377-905625)&lt;1,"✓ OK","⚠ ÉCART")</f>
        <v>✓ OK</v>
      </c>
    </row>
    <row r="378" spans="1:10" ht="19.5" customHeight="1" x14ac:dyDescent="0.25">
      <c r="A378" s="7" t="s">
        <v>1096</v>
      </c>
      <c r="B378" s="7"/>
      <c r="C378" s="7"/>
      <c r="D378" s="7"/>
      <c r="E378" s="7"/>
      <c r="F378" s="7"/>
      <c r="G378" s="7"/>
      <c r="H378" s="7"/>
      <c r="I378" s="7"/>
      <c r="J378" s="7"/>
    </row>
    <row r="379" spans="1:10" ht="15.75" customHeight="1" x14ac:dyDescent="0.25">
      <c r="A379" s="6" t="s">
        <v>1097</v>
      </c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5.75" customHeight="1" x14ac:dyDescent="0.25">
      <c r="A380" s="42" t="s">
        <v>1098</v>
      </c>
      <c r="B380" s="25" t="s">
        <v>184</v>
      </c>
      <c r="C380" s="43" t="s">
        <v>562</v>
      </c>
      <c r="D380" s="44" t="s">
        <v>562</v>
      </c>
      <c r="E380" s="27" t="s">
        <v>186</v>
      </c>
      <c r="F380" s="28" t="s">
        <v>142</v>
      </c>
      <c r="G380" s="45">
        <v>135</v>
      </c>
      <c r="H380" s="46">
        <v>40250</v>
      </c>
      <c r="I380" s="47">
        <f t="shared" ref="I380:I390" si="20">G380*H380</f>
        <v>5433750</v>
      </c>
      <c r="J380" s="48" t="str">
        <f>IF(ABS(G380*H380-5433750)&lt;1,"✓ OK","⚠ ÉCART")</f>
        <v>✓ OK</v>
      </c>
    </row>
    <row r="381" spans="1:10" ht="15.75" customHeight="1" x14ac:dyDescent="0.25">
      <c r="A381" s="35" t="s">
        <v>1099</v>
      </c>
      <c r="B381" s="17" t="s">
        <v>184</v>
      </c>
      <c r="C381" s="36" t="s">
        <v>562</v>
      </c>
      <c r="D381" s="37" t="s">
        <v>562</v>
      </c>
      <c r="E381" s="19" t="s">
        <v>190</v>
      </c>
      <c r="F381" s="20" t="s">
        <v>142</v>
      </c>
      <c r="G381" s="38">
        <v>25</v>
      </c>
      <c r="H381" s="39">
        <v>74750</v>
      </c>
      <c r="I381" s="40">
        <f t="shared" si="20"/>
        <v>1868750</v>
      </c>
      <c r="J381" s="41" t="str">
        <f>IF(ABS(G381*H381-1868750)&lt;1,"✓ OK","⚠ ÉCART")</f>
        <v>✓ OK</v>
      </c>
    </row>
    <row r="382" spans="1:10" ht="15.75" customHeight="1" x14ac:dyDescent="0.25">
      <c r="A382" s="42" t="s">
        <v>1100</v>
      </c>
      <c r="B382" s="25" t="s">
        <v>184</v>
      </c>
      <c r="C382" s="43" t="s">
        <v>562</v>
      </c>
      <c r="D382" s="44" t="s">
        <v>562</v>
      </c>
      <c r="E382" s="27" t="s">
        <v>193</v>
      </c>
      <c r="F382" s="28" t="s">
        <v>142</v>
      </c>
      <c r="G382" s="45">
        <v>20</v>
      </c>
      <c r="H382" s="46">
        <v>40250</v>
      </c>
      <c r="I382" s="47">
        <f t="shared" si="20"/>
        <v>805000</v>
      </c>
      <c r="J382" s="48" t="str">
        <f>IF(ABS(G382*H382-805000)&lt;1,"✓ OK","⚠ ÉCART")</f>
        <v>✓ OK</v>
      </c>
    </row>
    <row r="383" spans="1:10" ht="15.75" customHeight="1" x14ac:dyDescent="0.25">
      <c r="A383" s="35" t="s">
        <v>1101</v>
      </c>
      <c r="B383" s="17" t="s">
        <v>184</v>
      </c>
      <c r="C383" s="36" t="s">
        <v>562</v>
      </c>
      <c r="D383" s="37" t="s">
        <v>562</v>
      </c>
      <c r="E383" s="19" t="s">
        <v>196</v>
      </c>
      <c r="F383" s="20" t="s">
        <v>142</v>
      </c>
      <c r="G383" s="38">
        <v>36</v>
      </c>
      <c r="H383" s="39">
        <v>74750</v>
      </c>
      <c r="I383" s="40">
        <f t="shared" si="20"/>
        <v>2691000</v>
      </c>
      <c r="J383" s="41" t="str">
        <f>IF(ABS(G383*H383-2691000)&lt;1,"✓ OK","⚠ ÉCART")</f>
        <v>✓ OK</v>
      </c>
    </row>
    <row r="384" spans="1:10" ht="15.75" customHeight="1" x14ac:dyDescent="0.25">
      <c r="A384" s="42" t="s">
        <v>1102</v>
      </c>
      <c r="B384" s="25" t="s">
        <v>184</v>
      </c>
      <c r="C384" s="43" t="s">
        <v>562</v>
      </c>
      <c r="D384" s="44" t="s">
        <v>562</v>
      </c>
      <c r="E384" s="27" t="s">
        <v>199</v>
      </c>
      <c r="F384" s="28" t="s">
        <v>142</v>
      </c>
      <c r="G384" s="45">
        <v>32</v>
      </c>
      <c r="H384" s="46">
        <v>10350</v>
      </c>
      <c r="I384" s="47">
        <f t="shared" si="20"/>
        <v>331200</v>
      </c>
      <c r="J384" s="48" t="str">
        <f>IF(ABS(G384*H384-331200)&lt;1,"✓ OK","⚠ ÉCART")</f>
        <v>✓ OK</v>
      </c>
    </row>
    <row r="385" spans="1:10" ht="15.75" customHeight="1" x14ac:dyDescent="0.25">
      <c r="A385" s="35" t="s">
        <v>1103</v>
      </c>
      <c r="B385" s="17" t="s">
        <v>184</v>
      </c>
      <c r="C385" s="36" t="s">
        <v>562</v>
      </c>
      <c r="D385" s="37" t="s">
        <v>562</v>
      </c>
      <c r="E385" s="19" t="s">
        <v>202</v>
      </c>
      <c r="F385" s="20" t="s">
        <v>142</v>
      </c>
      <c r="G385" s="38">
        <v>8</v>
      </c>
      <c r="H385" s="39">
        <v>13800</v>
      </c>
      <c r="I385" s="40">
        <f t="shared" si="20"/>
        <v>110400</v>
      </c>
      <c r="J385" s="41" t="str">
        <f>IF(ABS(G385*H385-110400)&lt;1,"✓ OK","⚠ ÉCART")</f>
        <v>✓ OK</v>
      </c>
    </row>
    <row r="386" spans="1:10" ht="15.75" customHeight="1" x14ac:dyDescent="0.25">
      <c r="A386" s="42" t="s">
        <v>1104</v>
      </c>
      <c r="B386" s="25" t="s">
        <v>184</v>
      </c>
      <c r="C386" s="43" t="s">
        <v>562</v>
      </c>
      <c r="D386" s="44" t="s">
        <v>562</v>
      </c>
      <c r="E386" s="27" t="s">
        <v>205</v>
      </c>
      <c r="F386" s="28" t="s">
        <v>142</v>
      </c>
      <c r="G386" s="45">
        <v>12</v>
      </c>
      <c r="H386" s="46">
        <v>20700</v>
      </c>
      <c r="I386" s="47">
        <f t="shared" si="20"/>
        <v>248400</v>
      </c>
      <c r="J386" s="48" t="str">
        <f>IF(ABS(G386*H386-248400)&lt;1,"✓ OK","⚠ ÉCART")</f>
        <v>✓ OK</v>
      </c>
    </row>
    <row r="387" spans="1:10" ht="15.75" customHeight="1" x14ac:dyDescent="0.25">
      <c r="A387" s="35" t="s">
        <v>1105</v>
      </c>
      <c r="B387" s="17" t="s">
        <v>184</v>
      </c>
      <c r="C387" s="36" t="s">
        <v>562</v>
      </c>
      <c r="D387" s="37" t="s">
        <v>562</v>
      </c>
      <c r="E387" s="19" t="s">
        <v>208</v>
      </c>
      <c r="F387" s="20" t="s">
        <v>142</v>
      </c>
      <c r="G387" s="38">
        <v>76</v>
      </c>
      <c r="H387" s="39">
        <v>34500</v>
      </c>
      <c r="I387" s="40">
        <f t="shared" si="20"/>
        <v>2622000</v>
      </c>
      <c r="J387" s="41" t="str">
        <f>IF(ABS(G387*H387-2622000)&lt;1,"✓ OK","⚠ ÉCART")</f>
        <v>✓ OK</v>
      </c>
    </row>
    <row r="388" spans="1:10" ht="15.75" customHeight="1" x14ac:dyDescent="0.25">
      <c r="A388" s="42" t="s">
        <v>1106</v>
      </c>
      <c r="B388" s="25" t="s">
        <v>184</v>
      </c>
      <c r="C388" s="43" t="s">
        <v>562</v>
      </c>
      <c r="D388" s="44" t="s">
        <v>562</v>
      </c>
      <c r="E388" s="27" t="s">
        <v>211</v>
      </c>
      <c r="F388" s="28" t="s">
        <v>142</v>
      </c>
      <c r="G388" s="45">
        <v>40</v>
      </c>
      <c r="H388" s="46">
        <v>18400</v>
      </c>
      <c r="I388" s="47">
        <f t="shared" si="20"/>
        <v>736000</v>
      </c>
      <c r="J388" s="48" t="str">
        <f>IF(ABS(G388*H388-736000)&lt;1,"✓ OK","⚠ ÉCART")</f>
        <v>✓ OK</v>
      </c>
    </row>
    <row r="389" spans="1:10" ht="15.75" customHeight="1" x14ac:dyDescent="0.25">
      <c r="A389" s="35" t="s">
        <v>1107</v>
      </c>
      <c r="B389" s="17" t="s">
        <v>184</v>
      </c>
      <c r="C389" s="36" t="s">
        <v>562</v>
      </c>
      <c r="D389" s="37" t="s">
        <v>562</v>
      </c>
      <c r="E389" s="19" t="s">
        <v>214</v>
      </c>
      <c r="F389" s="20" t="s">
        <v>142</v>
      </c>
      <c r="G389" s="38">
        <v>24</v>
      </c>
      <c r="H389" s="39">
        <v>20700</v>
      </c>
      <c r="I389" s="40">
        <f t="shared" si="20"/>
        <v>496800</v>
      </c>
      <c r="J389" s="41" t="str">
        <f>IF(ABS(G389*H389-496800)&lt;1,"✓ OK","⚠ ÉCART")</f>
        <v>✓ OK</v>
      </c>
    </row>
    <row r="390" spans="1:10" ht="15.75" customHeight="1" x14ac:dyDescent="0.25">
      <c r="A390" s="42" t="s">
        <v>1108</v>
      </c>
      <c r="B390" s="25" t="s">
        <v>184</v>
      </c>
      <c r="C390" s="43" t="s">
        <v>562</v>
      </c>
      <c r="D390" s="44" t="s">
        <v>562</v>
      </c>
      <c r="E390" s="27" t="s">
        <v>217</v>
      </c>
      <c r="F390" s="28" t="s">
        <v>142</v>
      </c>
      <c r="G390" s="45">
        <v>20</v>
      </c>
      <c r="H390" s="46">
        <v>6900</v>
      </c>
      <c r="I390" s="47">
        <f t="shared" si="20"/>
        <v>138000</v>
      </c>
      <c r="J390" s="48" t="str">
        <f>IF(ABS(G390*H390-138000)&lt;1,"✓ OK","⚠ ÉCART")</f>
        <v>✓ OK</v>
      </c>
    </row>
    <row r="391" spans="1:10" ht="15.75" customHeight="1" x14ac:dyDescent="0.25">
      <c r="A391" s="6" t="s">
        <v>1109</v>
      </c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5.75" customHeight="1" x14ac:dyDescent="0.25">
      <c r="A392" s="42" t="s">
        <v>1110</v>
      </c>
      <c r="B392" s="25" t="s">
        <v>184</v>
      </c>
      <c r="C392" s="43" t="s">
        <v>562</v>
      </c>
      <c r="D392" s="44" t="s">
        <v>562</v>
      </c>
      <c r="E392" s="27" t="s">
        <v>1111</v>
      </c>
      <c r="F392" s="28" t="s">
        <v>142</v>
      </c>
      <c r="G392" s="45">
        <v>64</v>
      </c>
      <c r="H392" s="46">
        <v>67275</v>
      </c>
      <c r="I392" s="47">
        <f>G392*H392</f>
        <v>4305600</v>
      </c>
      <c r="J392" s="48" t="str">
        <f>IF(ABS(G392*H392-4305600)&lt;1,"✓ OK","⚠ ÉCART")</f>
        <v>✓ OK</v>
      </c>
    </row>
    <row r="393" spans="1:10" ht="15.75" customHeight="1" x14ac:dyDescent="0.25">
      <c r="A393" s="35" t="s">
        <v>1112</v>
      </c>
      <c r="B393" s="17" t="s">
        <v>184</v>
      </c>
      <c r="C393" s="36" t="s">
        <v>562</v>
      </c>
      <c r="D393" s="37" t="s">
        <v>562</v>
      </c>
      <c r="E393" s="19" t="s">
        <v>1113</v>
      </c>
      <c r="F393" s="20" t="s">
        <v>142</v>
      </c>
      <c r="G393" s="38">
        <v>76</v>
      </c>
      <c r="H393" s="39">
        <v>43125</v>
      </c>
      <c r="I393" s="40">
        <f>G393*H393</f>
        <v>3277500</v>
      </c>
      <c r="J393" s="41" t="str">
        <f>IF(ABS(G393*H393-3277500)&lt;1,"✓ OK","⚠ ÉCART")</f>
        <v>✓ OK</v>
      </c>
    </row>
    <row r="394" spans="1:10" ht="15.75" customHeight="1" x14ac:dyDescent="0.25">
      <c r="A394" s="6" t="s">
        <v>1114</v>
      </c>
      <c r="B394" s="6"/>
      <c r="C394" s="6"/>
      <c r="D394" s="6"/>
      <c r="E394" s="6"/>
      <c r="F394" s="6"/>
      <c r="G394" s="6"/>
      <c r="H394" s="6"/>
      <c r="I394" s="6"/>
      <c r="J394" s="6"/>
    </row>
    <row r="395" spans="1:10" ht="15.75" customHeight="1" x14ac:dyDescent="0.25">
      <c r="A395" s="35" t="s">
        <v>1115</v>
      </c>
      <c r="B395" s="17" t="s">
        <v>184</v>
      </c>
      <c r="C395" s="36" t="s">
        <v>562</v>
      </c>
      <c r="D395" s="37" t="s">
        <v>562</v>
      </c>
      <c r="E395" s="19" t="s">
        <v>228</v>
      </c>
      <c r="F395" s="20" t="s">
        <v>142</v>
      </c>
      <c r="G395" s="38">
        <v>128</v>
      </c>
      <c r="H395" s="39">
        <v>8050</v>
      </c>
      <c r="I395" s="40">
        <f t="shared" ref="I395:I405" si="21">G395*H395</f>
        <v>1030400</v>
      </c>
      <c r="J395" s="41" t="str">
        <f>IF(ABS(G395*H395-1030400)&lt;1,"✓ OK","⚠ ÉCART")</f>
        <v>✓ OK</v>
      </c>
    </row>
    <row r="396" spans="1:10" ht="15.75" customHeight="1" x14ac:dyDescent="0.25">
      <c r="A396" s="42" t="s">
        <v>1116</v>
      </c>
      <c r="B396" s="25" t="s">
        <v>184</v>
      </c>
      <c r="C396" s="43" t="s">
        <v>562</v>
      </c>
      <c r="D396" s="44" t="s">
        <v>562</v>
      </c>
      <c r="E396" s="27" t="s">
        <v>232</v>
      </c>
      <c r="F396" s="28" t="s">
        <v>142</v>
      </c>
      <c r="G396" s="45">
        <v>90</v>
      </c>
      <c r="H396" s="46">
        <v>8050</v>
      </c>
      <c r="I396" s="47">
        <f t="shared" si="21"/>
        <v>724500</v>
      </c>
      <c r="J396" s="48" t="str">
        <f>IF(ABS(G396*H396-724500)&lt;1,"✓ OK","⚠ ÉCART")</f>
        <v>✓ OK</v>
      </c>
    </row>
    <row r="397" spans="1:10" ht="15.75" customHeight="1" x14ac:dyDescent="0.25">
      <c r="A397" s="35" t="s">
        <v>1117</v>
      </c>
      <c r="B397" s="17" t="s">
        <v>184</v>
      </c>
      <c r="C397" s="36" t="s">
        <v>562</v>
      </c>
      <c r="D397" s="37" t="s">
        <v>562</v>
      </c>
      <c r="E397" s="19" t="s">
        <v>235</v>
      </c>
      <c r="F397" s="20" t="s">
        <v>142</v>
      </c>
      <c r="G397" s="38">
        <v>20</v>
      </c>
      <c r="H397" s="39">
        <v>10350</v>
      </c>
      <c r="I397" s="40">
        <f t="shared" si="21"/>
        <v>207000</v>
      </c>
      <c r="J397" s="41" t="str">
        <f>IF(ABS(G397*H397-207000)&lt;1,"✓ OK","⚠ ÉCART")</f>
        <v>✓ OK</v>
      </c>
    </row>
    <row r="398" spans="1:10" ht="15.75" customHeight="1" x14ac:dyDescent="0.25">
      <c r="A398" s="42" t="s">
        <v>1118</v>
      </c>
      <c r="B398" s="25" t="s">
        <v>184</v>
      </c>
      <c r="C398" s="43" t="s">
        <v>562</v>
      </c>
      <c r="D398" s="44" t="s">
        <v>562</v>
      </c>
      <c r="E398" s="27" t="s">
        <v>238</v>
      </c>
      <c r="F398" s="28" t="s">
        <v>142</v>
      </c>
      <c r="G398" s="45">
        <v>15</v>
      </c>
      <c r="H398" s="46">
        <v>46000</v>
      </c>
      <c r="I398" s="47">
        <f t="shared" si="21"/>
        <v>690000</v>
      </c>
      <c r="J398" s="48" t="str">
        <f>IF(ABS(G398*H398-690000)&lt;1,"✓ OK","⚠ ÉCART")</f>
        <v>✓ OK</v>
      </c>
    </row>
    <row r="399" spans="1:10" ht="15.75" customHeight="1" x14ac:dyDescent="0.25">
      <c r="A399" s="35" t="s">
        <v>1119</v>
      </c>
      <c r="B399" s="17" t="s">
        <v>184</v>
      </c>
      <c r="C399" s="36" t="s">
        <v>562</v>
      </c>
      <c r="D399" s="37" t="s">
        <v>562</v>
      </c>
      <c r="E399" s="19" t="s">
        <v>241</v>
      </c>
      <c r="F399" s="20" t="s">
        <v>142</v>
      </c>
      <c r="G399" s="38">
        <v>1</v>
      </c>
      <c r="H399" s="39">
        <v>4197500</v>
      </c>
      <c r="I399" s="40">
        <f t="shared" si="21"/>
        <v>4197500</v>
      </c>
      <c r="J399" s="41" t="str">
        <f>IF(ABS(G399*H399-4197500)&lt;1,"✓ OK","⚠ ÉCART")</f>
        <v>✓ OK</v>
      </c>
    </row>
    <row r="400" spans="1:10" ht="15.75" customHeight="1" x14ac:dyDescent="0.25">
      <c r="A400" s="42" t="s">
        <v>1120</v>
      </c>
      <c r="B400" s="25" t="s">
        <v>184</v>
      </c>
      <c r="C400" s="43" t="s">
        <v>562</v>
      </c>
      <c r="D400" s="44" t="s">
        <v>562</v>
      </c>
      <c r="E400" s="27" t="s">
        <v>244</v>
      </c>
      <c r="F400" s="28" t="s">
        <v>142</v>
      </c>
      <c r="G400" s="45">
        <v>324</v>
      </c>
      <c r="H400" s="46">
        <v>5750</v>
      </c>
      <c r="I400" s="47">
        <f t="shared" si="21"/>
        <v>1863000</v>
      </c>
      <c r="J400" s="48" t="str">
        <f>IF(ABS(G400*H400-1863000)&lt;1,"✓ OK","⚠ ÉCART")</f>
        <v>✓ OK</v>
      </c>
    </row>
    <row r="401" spans="1:10" ht="15.75" customHeight="1" x14ac:dyDescent="0.25">
      <c r="A401" s="35" t="s">
        <v>1121</v>
      </c>
      <c r="B401" s="17" t="s">
        <v>184</v>
      </c>
      <c r="C401" s="36" t="s">
        <v>562</v>
      </c>
      <c r="D401" s="37" t="s">
        <v>562</v>
      </c>
      <c r="E401" s="19" t="s">
        <v>247</v>
      </c>
      <c r="F401" s="20" t="s">
        <v>142</v>
      </c>
      <c r="G401" s="38">
        <v>100</v>
      </c>
      <c r="H401" s="39">
        <v>8050</v>
      </c>
      <c r="I401" s="40">
        <f t="shared" si="21"/>
        <v>805000</v>
      </c>
      <c r="J401" s="41" t="str">
        <f>IF(ABS(G401*H401-805000)&lt;1,"✓ OK","⚠ ÉCART")</f>
        <v>✓ OK</v>
      </c>
    </row>
    <row r="402" spans="1:10" ht="15.75" customHeight="1" x14ac:dyDescent="0.25">
      <c r="A402" s="42" t="s">
        <v>1122</v>
      </c>
      <c r="B402" s="25" t="s">
        <v>184</v>
      </c>
      <c r="C402" s="43" t="s">
        <v>562</v>
      </c>
      <c r="D402" s="44" t="s">
        <v>562</v>
      </c>
      <c r="E402" s="27" t="s">
        <v>250</v>
      </c>
      <c r="F402" s="28" t="s">
        <v>142</v>
      </c>
      <c r="G402" s="45">
        <v>50</v>
      </c>
      <c r="H402" s="46">
        <v>5750</v>
      </c>
      <c r="I402" s="47">
        <f t="shared" si="21"/>
        <v>287500</v>
      </c>
      <c r="J402" s="48" t="str">
        <f>IF(ABS(G402*H402-287500)&lt;1,"✓ OK","⚠ ÉCART")</f>
        <v>✓ OK</v>
      </c>
    </row>
    <row r="403" spans="1:10" ht="15.75" customHeight="1" x14ac:dyDescent="0.25">
      <c r="A403" s="35" t="s">
        <v>1123</v>
      </c>
      <c r="B403" s="17" t="s">
        <v>184</v>
      </c>
      <c r="C403" s="36" t="s">
        <v>562</v>
      </c>
      <c r="D403" s="37" t="s">
        <v>562</v>
      </c>
      <c r="E403" s="19" t="s">
        <v>253</v>
      </c>
      <c r="F403" s="20" t="s">
        <v>142</v>
      </c>
      <c r="G403" s="38">
        <v>46</v>
      </c>
      <c r="H403" s="39">
        <v>5750</v>
      </c>
      <c r="I403" s="40">
        <f t="shared" si="21"/>
        <v>264500</v>
      </c>
      <c r="J403" s="41" t="str">
        <f>IF(ABS(G403*H403-264500)&lt;1,"✓ OK","⚠ ÉCART")</f>
        <v>✓ OK</v>
      </c>
    </row>
    <row r="404" spans="1:10" ht="15.75" customHeight="1" x14ac:dyDescent="0.25">
      <c r="A404" s="42" t="s">
        <v>1124</v>
      </c>
      <c r="B404" s="25" t="s">
        <v>184</v>
      </c>
      <c r="C404" s="43" t="s">
        <v>562</v>
      </c>
      <c r="D404" s="44" t="s">
        <v>562</v>
      </c>
      <c r="E404" s="27" t="s">
        <v>256</v>
      </c>
      <c r="F404" s="28" t="s">
        <v>142</v>
      </c>
      <c r="G404" s="45">
        <v>46</v>
      </c>
      <c r="H404" s="46">
        <v>5750</v>
      </c>
      <c r="I404" s="47">
        <f t="shared" si="21"/>
        <v>264500</v>
      </c>
      <c r="J404" s="48" t="str">
        <f>IF(ABS(G404*H404-264500)&lt;1,"✓ OK","⚠ ÉCART")</f>
        <v>✓ OK</v>
      </c>
    </row>
    <row r="405" spans="1:10" ht="15.75" customHeight="1" x14ac:dyDescent="0.25">
      <c r="A405" s="35" t="s">
        <v>1125</v>
      </c>
      <c r="B405" s="17" t="s">
        <v>184</v>
      </c>
      <c r="C405" s="36" t="s">
        <v>562</v>
      </c>
      <c r="D405" s="37" t="s">
        <v>562</v>
      </c>
      <c r="E405" s="19" t="s">
        <v>259</v>
      </c>
      <c r="F405" s="20" t="s">
        <v>142</v>
      </c>
      <c r="G405" s="38">
        <v>25</v>
      </c>
      <c r="H405" s="39">
        <v>8050</v>
      </c>
      <c r="I405" s="40">
        <f t="shared" si="21"/>
        <v>201250</v>
      </c>
      <c r="J405" s="41" t="str">
        <f>IF(ABS(G405*H405-201250)&lt;1,"✓ OK","⚠ ÉCART")</f>
        <v>✓ OK</v>
      </c>
    </row>
    <row r="406" spans="1:10" ht="15.75" customHeight="1" x14ac:dyDescent="0.25">
      <c r="A406" s="6" t="s">
        <v>1126</v>
      </c>
      <c r="B406" s="6"/>
      <c r="C406" s="6"/>
      <c r="D406" s="6"/>
      <c r="E406" s="6"/>
      <c r="F406" s="6"/>
      <c r="G406" s="6"/>
      <c r="H406" s="6"/>
      <c r="I406" s="6"/>
      <c r="J406" s="6"/>
    </row>
    <row r="407" spans="1:10" ht="15.75" customHeight="1" x14ac:dyDescent="0.25">
      <c r="A407" s="35" t="s">
        <v>1127</v>
      </c>
      <c r="B407" s="17" t="s">
        <v>184</v>
      </c>
      <c r="C407" s="36" t="s">
        <v>562</v>
      </c>
      <c r="D407" s="37" t="s">
        <v>562</v>
      </c>
      <c r="E407" s="19" t="s">
        <v>263</v>
      </c>
      <c r="F407" s="20" t="s">
        <v>112</v>
      </c>
      <c r="G407" s="38">
        <v>6500</v>
      </c>
      <c r="H407" s="39">
        <v>1150</v>
      </c>
      <c r="I407" s="40">
        <f t="shared" ref="I407:I431" si="22">G407*H407</f>
        <v>7475000</v>
      </c>
      <c r="J407" s="41" t="str">
        <f>IF(ABS(G407*H407-7475000)&lt;1,"✓ OK","⚠ ÉCART")</f>
        <v>✓ OK</v>
      </c>
    </row>
    <row r="408" spans="1:10" ht="15.75" customHeight="1" x14ac:dyDescent="0.25">
      <c r="A408" s="42" t="s">
        <v>1128</v>
      </c>
      <c r="B408" s="25" t="s">
        <v>184</v>
      </c>
      <c r="C408" s="43" t="s">
        <v>562</v>
      </c>
      <c r="D408" s="44" t="s">
        <v>562</v>
      </c>
      <c r="E408" s="27" t="s">
        <v>267</v>
      </c>
      <c r="F408" s="28" t="s">
        <v>112</v>
      </c>
      <c r="G408" s="45">
        <v>7500</v>
      </c>
      <c r="H408" s="46">
        <v>1495</v>
      </c>
      <c r="I408" s="47">
        <f t="shared" si="22"/>
        <v>11212500</v>
      </c>
      <c r="J408" s="48" t="str">
        <f>IF(ABS(G408*H408-11212500)&lt;1,"✓ OK","⚠ ÉCART")</f>
        <v>✓ OK</v>
      </c>
    </row>
    <row r="409" spans="1:10" ht="15.75" customHeight="1" x14ac:dyDescent="0.25">
      <c r="A409" s="35" t="s">
        <v>1129</v>
      </c>
      <c r="B409" s="17" t="s">
        <v>184</v>
      </c>
      <c r="C409" s="36" t="s">
        <v>562</v>
      </c>
      <c r="D409" s="37" t="s">
        <v>562</v>
      </c>
      <c r="E409" s="19" t="s">
        <v>270</v>
      </c>
      <c r="F409" s="20" t="s">
        <v>112</v>
      </c>
      <c r="G409" s="38">
        <v>500</v>
      </c>
      <c r="H409" s="39">
        <v>5750</v>
      </c>
      <c r="I409" s="40">
        <f t="shared" si="22"/>
        <v>2875000</v>
      </c>
      <c r="J409" s="41" t="str">
        <f>IF(ABS(G409*H409-2875000)&lt;1,"✓ OK","⚠ ÉCART")</f>
        <v>✓ OK</v>
      </c>
    </row>
    <row r="410" spans="1:10" ht="15.75" customHeight="1" x14ac:dyDescent="0.25">
      <c r="A410" s="42" t="s">
        <v>1130</v>
      </c>
      <c r="B410" s="25" t="s">
        <v>184</v>
      </c>
      <c r="C410" s="43" t="s">
        <v>562</v>
      </c>
      <c r="D410" s="44" t="s">
        <v>562</v>
      </c>
      <c r="E410" s="27" t="s">
        <v>273</v>
      </c>
      <c r="F410" s="28" t="s">
        <v>112</v>
      </c>
      <c r="G410" s="45">
        <v>300</v>
      </c>
      <c r="H410" s="46">
        <v>16100</v>
      </c>
      <c r="I410" s="47">
        <f t="shared" si="22"/>
        <v>4830000</v>
      </c>
      <c r="J410" s="48" t="str">
        <f>IF(ABS(G410*H410-4830000)&lt;1,"✓ OK","⚠ ÉCART")</f>
        <v>✓ OK</v>
      </c>
    </row>
    <row r="411" spans="1:10" ht="15.75" customHeight="1" x14ac:dyDescent="0.25">
      <c r="A411" s="35" t="s">
        <v>1131</v>
      </c>
      <c r="B411" s="17" t="s">
        <v>184</v>
      </c>
      <c r="C411" s="36" t="s">
        <v>562</v>
      </c>
      <c r="D411" s="37" t="s">
        <v>562</v>
      </c>
      <c r="E411" s="19" t="s">
        <v>276</v>
      </c>
      <c r="F411" s="20" t="s">
        <v>112</v>
      </c>
      <c r="G411" s="38">
        <v>300</v>
      </c>
      <c r="H411" s="39">
        <v>27025</v>
      </c>
      <c r="I411" s="40">
        <f t="shared" si="22"/>
        <v>8107500</v>
      </c>
      <c r="J411" s="41" t="str">
        <f>IF(ABS(G411*H411-8107500)&lt;1,"✓ OK","⚠ ÉCART")</f>
        <v>✓ OK</v>
      </c>
    </row>
    <row r="412" spans="1:10" ht="15.75" customHeight="1" x14ac:dyDescent="0.25">
      <c r="A412" s="42" t="s">
        <v>1132</v>
      </c>
      <c r="B412" s="25" t="s">
        <v>184</v>
      </c>
      <c r="C412" s="43" t="s">
        <v>562</v>
      </c>
      <c r="D412" s="44" t="s">
        <v>562</v>
      </c>
      <c r="E412" s="27" t="s">
        <v>1133</v>
      </c>
      <c r="F412" s="28" t="s">
        <v>112</v>
      </c>
      <c r="G412" s="45">
        <v>80</v>
      </c>
      <c r="H412" s="46">
        <v>26500</v>
      </c>
      <c r="I412" s="47">
        <f t="shared" si="22"/>
        <v>2120000</v>
      </c>
      <c r="J412" s="48" t="str">
        <f>IF(ABS(G412*H412-2120000)&lt;1,"✓ OK","⚠ ÉCART")</f>
        <v>✓ OK</v>
      </c>
    </row>
    <row r="413" spans="1:10" ht="15.75" customHeight="1" x14ac:dyDescent="0.25">
      <c r="A413" s="35" t="s">
        <v>1134</v>
      </c>
      <c r="B413" s="17" t="s">
        <v>184</v>
      </c>
      <c r="C413" s="36" t="s">
        <v>562</v>
      </c>
      <c r="D413" s="37" t="s">
        <v>562</v>
      </c>
      <c r="E413" s="19" t="s">
        <v>279</v>
      </c>
      <c r="F413" s="20" t="s">
        <v>112</v>
      </c>
      <c r="G413" s="38">
        <v>150</v>
      </c>
      <c r="H413" s="39">
        <v>46000</v>
      </c>
      <c r="I413" s="40">
        <f t="shared" si="22"/>
        <v>6900000</v>
      </c>
      <c r="J413" s="41" t="str">
        <f>IF(ABS(G413*H413-6900000)&lt;1,"✓ OK","⚠ ÉCART")</f>
        <v>✓ OK</v>
      </c>
    </row>
    <row r="414" spans="1:10" ht="15.75" customHeight="1" x14ac:dyDescent="0.25">
      <c r="A414" s="42" t="s">
        <v>1135</v>
      </c>
      <c r="B414" s="25" t="s">
        <v>184</v>
      </c>
      <c r="C414" s="43" t="s">
        <v>562</v>
      </c>
      <c r="D414" s="44" t="s">
        <v>562</v>
      </c>
      <c r="E414" s="27" t="s">
        <v>282</v>
      </c>
      <c r="F414" s="28" t="s">
        <v>112</v>
      </c>
      <c r="G414" s="45">
        <v>50</v>
      </c>
      <c r="H414" s="46">
        <v>14375</v>
      </c>
      <c r="I414" s="47">
        <f t="shared" si="22"/>
        <v>718750</v>
      </c>
      <c r="J414" s="48" t="str">
        <f>IF(ABS(G414*H414-718750)&lt;1,"✓ OK","⚠ ÉCART")</f>
        <v>✓ OK</v>
      </c>
    </row>
    <row r="415" spans="1:10" ht="15.75" customHeight="1" x14ac:dyDescent="0.25">
      <c r="A415" s="35" t="s">
        <v>1136</v>
      </c>
      <c r="B415" s="17" t="s">
        <v>184</v>
      </c>
      <c r="C415" s="36" t="s">
        <v>562</v>
      </c>
      <c r="D415" s="37" t="s">
        <v>562</v>
      </c>
      <c r="E415" s="19" t="s">
        <v>285</v>
      </c>
      <c r="F415" s="20" t="s">
        <v>142</v>
      </c>
      <c r="G415" s="38">
        <v>10</v>
      </c>
      <c r="H415" s="39">
        <v>51750</v>
      </c>
      <c r="I415" s="40">
        <f t="shared" si="22"/>
        <v>517500</v>
      </c>
      <c r="J415" s="41" t="str">
        <f>IF(ABS(G415*H415-517500)&lt;1,"✓ OK","⚠ ÉCART")</f>
        <v>✓ OK</v>
      </c>
    </row>
    <row r="416" spans="1:10" ht="15.75" customHeight="1" x14ac:dyDescent="0.25">
      <c r="A416" s="42" t="s">
        <v>1137</v>
      </c>
      <c r="B416" s="25" t="s">
        <v>184</v>
      </c>
      <c r="C416" s="43" t="s">
        <v>562</v>
      </c>
      <c r="D416" s="44" t="s">
        <v>562</v>
      </c>
      <c r="E416" s="27" t="s">
        <v>288</v>
      </c>
      <c r="F416" s="28" t="s">
        <v>142</v>
      </c>
      <c r="G416" s="45">
        <v>15</v>
      </c>
      <c r="H416" s="46">
        <v>43700</v>
      </c>
      <c r="I416" s="47">
        <f t="shared" si="22"/>
        <v>655500</v>
      </c>
      <c r="J416" s="48" t="str">
        <f>IF(ABS(G416*H416-655500)&lt;1,"✓ OK","⚠ ÉCART")</f>
        <v>✓ OK</v>
      </c>
    </row>
    <row r="417" spans="1:10" ht="15.75" customHeight="1" x14ac:dyDescent="0.25">
      <c r="A417" s="35" t="s">
        <v>1138</v>
      </c>
      <c r="B417" s="17" t="s">
        <v>184</v>
      </c>
      <c r="C417" s="36" t="s">
        <v>562</v>
      </c>
      <c r="D417" s="37" t="s">
        <v>562</v>
      </c>
      <c r="E417" s="19" t="s">
        <v>291</v>
      </c>
      <c r="F417" s="20" t="s">
        <v>142</v>
      </c>
      <c r="G417" s="38">
        <v>50</v>
      </c>
      <c r="H417" s="39">
        <v>34500</v>
      </c>
      <c r="I417" s="40">
        <f t="shared" si="22"/>
        <v>1725000</v>
      </c>
      <c r="J417" s="41" t="str">
        <f>IF(ABS(G417*H417-1725000)&lt;1,"✓ OK","⚠ ÉCART")</f>
        <v>✓ OK</v>
      </c>
    </row>
    <row r="418" spans="1:10" ht="15.75" customHeight="1" x14ac:dyDescent="0.25">
      <c r="A418" s="42" t="s">
        <v>1139</v>
      </c>
      <c r="B418" s="25" t="s">
        <v>184</v>
      </c>
      <c r="C418" s="43" t="s">
        <v>562</v>
      </c>
      <c r="D418" s="44" t="s">
        <v>562</v>
      </c>
      <c r="E418" s="27" t="s">
        <v>294</v>
      </c>
      <c r="F418" s="28" t="s">
        <v>142</v>
      </c>
      <c r="G418" s="45">
        <v>50</v>
      </c>
      <c r="H418" s="46">
        <v>28750</v>
      </c>
      <c r="I418" s="47">
        <f t="shared" si="22"/>
        <v>1437500</v>
      </c>
      <c r="J418" s="48" t="str">
        <f>IF(ABS(G418*H418-1437500)&lt;1,"✓ OK","⚠ ÉCART")</f>
        <v>✓ OK</v>
      </c>
    </row>
    <row r="419" spans="1:10" ht="15.75" customHeight="1" x14ac:dyDescent="0.25">
      <c r="A419" s="35" t="s">
        <v>1140</v>
      </c>
      <c r="B419" s="17" t="s">
        <v>184</v>
      </c>
      <c r="C419" s="36" t="s">
        <v>562</v>
      </c>
      <c r="D419" s="37" t="s">
        <v>562</v>
      </c>
      <c r="E419" s="19" t="s">
        <v>1141</v>
      </c>
      <c r="F419" s="20" t="s">
        <v>142</v>
      </c>
      <c r="G419" s="38">
        <v>800</v>
      </c>
      <c r="H419" s="39">
        <v>575</v>
      </c>
      <c r="I419" s="40">
        <f t="shared" si="22"/>
        <v>460000</v>
      </c>
      <c r="J419" s="41" t="str">
        <f>IF(ABS(G419*H419-460000)&lt;1,"✓ OK","⚠ ÉCART")</f>
        <v>✓ OK</v>
      </c>
    </row>
    <row r="420" spans="1:10" ht="15.75" customHeight="1" x14ac:dyDescent="0.25">
      <c r="A420" s="42" t="s">
        <v>1142</v>
      </c>
      <c r="B420" s="25" t="s">
        <v>184</v>
      </c>
      <c r="C420" s="43" t="s">
        <v>562</v>
      </c>
      <c r="D420" s="44" t="s">
        <v>562</v>
      </c>
      <c r="E420" s="27" t="s">
        <v>1143</v>
      </c>
      <c r="F420" s="28" t="s">
        <v>142</v>
      </c>
      <c r="G420" s="45">
        <v>200</v>
      </c>
      <c r="H420" s="46">
        <v>5750</v>
      </c>
      <c r="I420" s="47">
        <f t="shared" si="22"/>
        <v>1150000</v>
      </c>
      <c r="J420" s="48" t="str">
        <f>IF(ABS(G420*H420-1150000)&lt;1,"✓ OK","⚠ ÉCART")</f>
        <v>✓ OK</v>
      </c>
    </row>
    <row r="421" spans="1:10" ht="15.75" customHeight="1" x14ac:dyDescent="0.25">
      <c r="A421" s="35" t="s">
        <v>1144</v>
      </c>
      <c r="B421" s="17" t="s">
        <v>184</v>
      </c>
      <c r="C421" s="36" t="s">
        <v>562</v>
      </c>
      <c r="D421" s="37" t="s">
        <v>562</v>
      </c>
      <c r="E421" s="19" t="s">
        <v>1145</v>
      </c>
      <c r="F421" s="20" t="s">
        <v>142</v>
      </c>
      <c r="G421" s="38">
        <v>25</v>
      </c>
      <c r="H421" s="39">
        <v>11500</v>
      </c>
      <c r="I421" s="40">
        <f t="shared" si="22"/>
        <v>287500</v>
      </c>
      <c r="J421" s="41" t="str">
        <f>IF(ABS(G421*H421-287500)&lt;1,"✓ OK","⚠ ÉCART")</f>
        <v>✓ OK</v>
      </c>
    </row>
    <row r="422" spans="1:10" ht="15.75" customHeight="1" x14ac:dyDescent="0.25">
      <c r="A422" s="42" t="s">
        <v>1146</v>
      </c>
      <c r="B422" s="25" t="s">
        <v>184</v>
      </c>
      <c r="C422" s="43" t="s">
        <v>562</v>
      </c>
      <c r="D422" s="44" t="s">
        <v>562</v>
      </c>
      <c r="E422" s="27" t="s">
        <v>1147</v>
      </c>
      <c r="F422" s="28" t="s">
        <v>142</v>
      </c>
      <c r="G422" s="45">
        <v>2</v>
      </c>
      <c r="H422" s="46">
        <v>57500</v>
      </c>
      <c r="I422" s="47">
        <f t="shared" si="22"/>
        <v>115000</v>
      </c>
      <c r="J422" s="48" t="str">
        <f>IF(ABS(G422*H422-115000)&lt;1,"✓ OK","⚠ ÉCART")</f>
        <v>✓ OK</v>
      </c>
    </row>
    <row r="423" spans="1:10" ht="15.75" customHeight="1" x14ac:dyDescent="0.25">
      <c r="A423" s="35" t="s">
        <v>1148</v>
      </c>
      <c r="B423" s="17" t="s">
        <v>184</v>
      </c>
      <c r="C423" s="36" t="s">
        <v>562</v>
      </c>
      <c r="D423" s="37" t="s">
        <v>562</v>
      </c>
      <c r="E423" s="19" t="s">
        <v>1149</v>
      </c>
      <c r="F423" s="20" t="s">
        <v>142</v>
      </c>
      <c r="G423" s="38">
        <v>3</v>
      </c>
      <c r="H423" s="39">
        <v>40250</v>
      </c>
      <c r="I423" s="40">
        <f t="shared" si="22"/>
        <v>120750</v>
      </c>
      <c r="J423" s="41" t="str">
        <f>IF(ABS(G423*H423-120750)&lt;1,"✓ OK","⚠ ÉCART")</f>
        <v>✓ OK</v>
      </c>
    </row>
    <row r="424" spans="1:10" ht="15.75" customHeight="1" x14ac:dyDescent="0.25">
      <c r="A424" s="42" t="s">
        <v>1150</v>
      </c>
      <c r="B424" s="25" t="s">
        <v>184</v>
      </c>
      <c r="C424" s="43" t="s">
        <v>562</v>
      </c>
      <c r="D424" s="44" t="s">
        <v>562</v>
      </c>
      <c r="E424" s="27" t="s">
        <v>1151</v>
      </c>
      <c r="F424" s="28" t="s">
        <v>142</v>
      </c>
      <c r="G424" s="45">
        <v>10</v>
      </c>
      <c r="H424" s="46">
        <v>34500</v>
      </c>
      <c r="I424" s="47">
        <f t="shared" si="22"/>
        <v>345000</v>
      </c>
      <c r="J424" s="48" t="str">
        <f>IF(ABS(G424*H424-345000)&lt;1,"✓ OK","⚠ ÉCART")</f>
        <v>✓ OK</v>
      </c>
    </row>
    <row r="425" spans="1:10" ht="15.75" customHeight="1" x14ac:dyDescent="0.25">
      <c r="A425" s="35" t="s">
        <v>1152</v>
      </c>
      <c r="B425" s="17" t="s">
        <v>184</v>
      </c>
      <c r="C425" s="36" t="s">
        <v>562</v>
      </c>
      <c r="D425" s="37" t="s">
        <v>562</v>
      </c>
      <c r="E425" s="19" t="s">
        <v>1153</v>
      </c>
      <c r="F425" s="20" t="s">
        <v>142</v>
      </c>
      <c r="G425" s="38">
        <v>10</v>
      </c>
      <c r="H425" s="39">
        <v>26450</v>
      </c>
      <c r="I425" s="40">
        <f t="shared" si="22"/>
        <v>264500</v>
      </c>
      <c r="J425" s="41" t="str">
        <f>IF(ABS(G425*H425-264500)&lt;1,"✓ OK","⚠ ÉCART")</f>
        <v>✓ OK</v>
      </c>
    </row>
    <row r="426" spans="1:10" ht="15.75" customHeight="1" x14ac:dyDescent="0.25">
      <c r="A426" s="42" t="s">
        <v>1154</v>
      </c>
      <c r="B426" s="25" t="s">
        <v>184</v>
      </c>
      <c r="C426" s="43" t="s">
        <v>562</v>
      </c>
      <c r="D426" s="44" t="s">
        <v>562</v>
      </c>
      <c r="E426" s="27" t="s">
        <v>297</v>
      </c>
      <c r="F426" s="28" t="s">
        <v>142</v>
      </c>
      <c r="G426" s="45">
        <v>100</v>
      </c>
      <c r="H426" s="46">
        <v>26450</v>
      </c>
      <c r="I426" s="47">
        <f t="shared" si="22"/>
        <v>2645000</v>
      </c>
      <c r="J426" s="48" t="str">
        <f>IF(ABS(G426*H426-2645000)&lt;1,"✓ OK","⚠ ÉCART")</f>
        <v>✓ OK</v>
      </c>
    </row>
    <row r="427" spans="1:10" ht="15.75" customHeight="1" x14ac:dyDescent="0.25">
      <c r="A427" s="35" t="s">
        <v>1155</v>
      </c>
      <c r="B427" s="17" t="s">
        <v>184</v>
      </c>
      <c r="C427" s="36" t="s">
        <v>562</v>
      </c>
      <c r="D427" s="37" t="s">
        <v>562</v>
      </c>
      <c r="E427" s="19" t="s">
        <v>303</v>
      </c>
      <c r="F427" s="20" t="s">
        <v>142</v>
      </c>
      <c r="G427" s="38">
        <v>18</v>
      </c>
      <c r="H427" s="39">
        <v>368000</v>
      </c>
      <c r="I427" s="40">
        <f t="shared" si="22"/>
        <v>6624000</v>
      </c>
      <c r="J427" s="41" t="str">
        <f>IF(ABS(G427*H427-6624000)&lt;1,"✓ OK","⚠ ÉCART")</f>
        <v>✓ OK</v>
      </c>
    </row>
    <row r="428" spans="1:10" ht="15.75" customHeight="1" x14ac:dyDescent="0.25">
      <c r="A428" s="42" t="s">
        <v>1156</v>
      </c>
      <c r="B428" s="25" t="s">
        <v>184</v>
      </c>
      <c r="C428" s="43" t="s">
        <v>562</v>
      </c>
      <c r="D428" s="44" t="s">
        <v>562</v>
      </c>
      <c r="E428" s="27" t="s">
        <v>1157</v>
      </c>
      <c r="F428" s="28" t="s">
        <v>142</v>
      </c>
      <c r="G428" s="45">
        <v>4</v>
      </c>
      <c r="H428" s="46">
        <v>207000</v>
      </c>
      <c r="I428" s="47">
        <f t="shared" si="22"/>
        <v>828000</v>
      </c>
      <c r="J428" s="48" t="str">
        <f>IF(ABS(G428*H428-828000)&lt;1,"✓ OK","⚠ ÉCART")</f>
        <v>✓ OK</v>
      </c>
    </row>
    <row r="429" spans="1:10" ht="15.75" customHeight="1" x14ac:dyDescent="0.25">
      <c r="A429" s="35" t="s">
        <v>1158</v>
      </c>
      <c r="B429" s="17" t="s">
        <v>184</v>
      </c>
      <c r="C429" s="36" t="s">
        <v>562</v>
      </c>
      <c r="D429" s="37" t="s">
        <v>562</v>
      </c>
      <c r="E429" s="19" t="s">
        <v>306</v>
      </c>
      <c r="F429" s="20" t="s">
        <v>142</v>
      </c>
      <c r="G429" s="38">
        <v>2</v>
      </c>
      <c r="H429" s="39">
        <v>10350000</v>
      </c>
      <c r="I429" s="40">
        <f t="shared" si="22"/>
        <v>20700000</v>
      </c>
      <c r="J429" s="41" t="str">
        <f>IF(ABS(G429*H429-20700000)&lt;1,"✓ OK","⚠ ÉCART")</f>
        <v>✓ OK</v>
      </c>
    </row>
    <row r="430" spans="1:10" ht="15.75" customHeight="1" x14ac:dyDescent="0.25">
      <c r="A430" s="42" t="s">
        <v>1159</v>
      </c>
      <c r="B430" s="25" t="s">
        <v>184</v>
      </c>
      <c r="C430" s="43" t="s">
        <v>562</v>
      </c>
      <c r="D430" s="44" t="s">
        <v>562</v>
      </c>
      <c r="E430" s="27" t="s">
        <v>1160</v>
      </c>
      <c r="F430" s="28" t="s">
        <v>16</v>
      </c>
      <c r="G430" s="45">
        <v>1</v>
      </c>
      <c r="H430" s="46">
        <v>1725000</v>
      </c>
      <c r="I430" s="47">
        <f t="shared" si="22"/>
        <v>1725000</v>
      </c>
      <c r="J430" s="48" t="str">
        <f>IF(ABS(G430*H430-1725000)&lt;1,"✓ OK","⚠ ÉCART")</f>
        <v>✓ OK</v>
      </c>
    </row>
    <row r="431" spans="1:10" ht="15.75" customHeight="1" x14ac:dyDescent="0.25">
      <c r="A431" s="35" t="s">
        <v>1161</v>
      </c>
      <c r="B431" s="17" t="s">
        <v>184</v>
      </c>
      <c r="C431" s="36" t="s">
        <v>562</v>
      </c>
      <c r="D431" s="37" t="s">
        <v>562</v>
      </c>
      <c r="E431" s="19" t="s">
        <v>1162</v>
      </c>
      <c r="F431" s="20" t="s">
        <v>16</v>
      </c>
      <c r="G431" s="38">
        <v>1</v>
      </c>
      <c r="H431" s="39">
        <v>989000</v>
      </c>
      <c r="I431" s="40">
        <f t="shared" si="22"/>
        <v>989000</v>
      </c>
      <c r="J431" s="41" t="str">
        <f>IF(ABS(G431*H431-989000)&lt;1,"✓ OK","⚠ ÉCART")</f>
        <v>✓ OK</v>
      </c>
    </row>
    <row r="432" spans="1:10" ht="15.75" customHeight="1" x14ac:dyDescent="0.25">
      <c r="A432" s="6" t="s">
        <v>1163</v>
      </c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5.75" customHeight="1" x14ac:dyDescent="0.25">
      <c r="A433" s="35" t="s">
        <v>1164</v>
      </c>
      <c r="B433" s="17" t="s">
        <v>184</v>
      </c>
      <c r="C433" s="36" t="s">
        <v>562</v>
      </c>
      <c r="D433" s="37" t="s">
        <v>562</v>
      </c>
      <c r="E433" s="19" t="s">
        <v>1165</v>
      </c>
      <c r="F433" s="20" t="s">
        <v>142</v>
      </c>
      <c r="G433" s="38">
        <v>1</v>
      </c>
      <c r="H433" s="39">
        <v>8050000</v>
      </c>
      <c r="I433" s="40">
        <f>G433*H433</f>
        <v>8050000</v>
      </c>
      <c r="J433" s="41" t="str">
        <f>IF(ABS(G433*H433-8050000)&lt;1,"✓ OK","⚠ ÉCART")</f>
        <v>✓ OK</v>
      </c>
    </row>
    <row r="434" spans="1:10" ht="15.75" customHeight="1" x14ac:dyDescent="0.25">
      <c r="A434" s="42" t="s">
        <v>1166</v>
      </c>
      <c r="B434" s="25" t="s">
        <v>184</v>
      </c>
      <c r="C434" s="43" t="s">
        <v>562</v>
      </c>
      <c r="D434" s="44" t="s">
        <v>562</v>
      </c>
      <c r="E434" s="27" t="s">
        <v>1167</v>
      </c>
      <c r="F434" s="28" t="s">
        <v>142</v>
      </c>
      <c r="G434" s="45">
        <v>4</v>
      </c>
      <c r="H434" s="46">
        <v>2127500</v>
      </c>
      <c r="I434" s="47">
        <f>G434*H434</f>
        <v>8510000</v>
      </c>
      <c r="J434" s="48" t="str">
        <f>IF(ABS(G434*H434-8510000)&lt;1,"✓ OK","⚠ ÉCART")</f>
        <v>✓ OK</v>
      </c>
    </row>
    <row r="435" spans="1:10" ht="15.75" customHeight="1" x14ac:dyDescent="0.25">
      <c r="A435" s="35" t="s">
        <v>1168</v>
      </c>
      <c r="B435" s="17" t="s">
        <v>184</v>
      </c>
      <c r="C435" s="36" t="s">
        <v>562</v>
      </c>
      <c r="D435" s="37" t="s">
        <v>562</v>
      </c>
      <c r="E435" s="19" t="s">
        <v>1169</v>
      </c>
      <c r="F435" s="20" t="s">
        <v>142</v>
      </c>
      <c r="G435" s="38">
        <v>1</v>
      </c>
      <c r="H435" s="39">
        <v>3542000</v>
      </c>
      <c r="I435" s="40">
        <f>G435*H435</f>
        <v>3542000</v>
      </c>
      <c r="J435" s="41" t="str">
        <f>IF(ABS(G435*H435-3542000)&lt;1,"✓ OK","⚠ ÉCART")</f>
        <v>✓ OK</v>
      </c>
    </row>
    <row r="436" spans="1:10" ht="15.75" customHeight="1" x14ac:dyDescent="0.25">
      <c r="A436" s="42" t="s">
        <v>1170</v>
      </c>
      <c r="B436" s="25" t="s">
        <v>184</v>
      </c>
      <c r="C436" s="43" t="s">
        <v>562</v>
      </c>
      <c r="D436" s="44" t="s">
        <v>562</v>
      </c>
      <c r="E436" s="27" t="s">
        <v>1171</v>
      </c>
      <c r="F436" s="28" t="s">
        <v>142</v>
      </c>
      <c r="G436" s="45">
        <v>1</v>
      </c>
      <c r="H436" s="46">
        <v>977500</v>
      </c>
      <c r="I436" s="47">
        <f>G436*H436</f>
        <v>977500</v>
      </c>
      <c r="J436" s="48" t="str">
        <f>IF(ABS(G436*H436-977500)&lt;1,"✓ OK","⚠ ÉCART")</f>
        <v>✓ OK</v>
      </c>
    </row>
    <row r="437" spans="1:10" ht="15.75" customHeight="1" x14ac:dyDescent="0.25">
      <c r="A437" s="6" t="s">
        <v>1172</v>
      </c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15.75" customHeight="1" x14ac:dyDescent="0.25">
      <c r="A438" s="42" t="s">
        <v>1173</v>
      </c>
      <c r="B438" s="25" t="s">
        <v>184</v>
      </c>
      <c r="C438" s="43" t="s">
        <v>562</v>
      </c>
      <c r="D438" s="44" t="s">
        <v>562</v>
      </c>
      <c r="E438" s="27" t="s">
        <v>323</v>
      </c>
      <c r="F438" s="28" t="s">
        <v>16</v>
      </c>
      <c r="G438" s="45">
        <v>1</v>
      </c>
      <c r="H438" s="46">
        <v>17250000</v>
      </c>
      <c r="I438" s="47">
        <f>G438*H438</f>
        <v>17250000</v>
      </c>
      <c r="J438" s="48" t="str">
        <f>IF(ABS(G438*H438-17250000)&lt;1,"✓ OK","⚠ ÉCART")</f>
        <v>✓ OK</v>
      </c>
    </row>
    <row r="439" spans="1:10" ht="15.75" customHeight="1" x14ac:dyDescent="0.25">
      <c r="A439" s="6" t="s">
        <v>1174</v>
      </c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15.75" customHeight="1" x14ac:dyDescent="0.25">
      <c r="A440" s="42" t="s">
        <v>1175</v>
      </c>
      <c r="B440" s="25" t="s">
        <v>184</v>
      </c>
      <c r="C440" s="43" t="s">
        <v>562</v>
      </c>
      <c r="D440" s="44" t="s">
        <v>562</v>
      </c>
      <c r="E440" s="27" t="s">
        <v>327</v>
      </c>
      <c r="F440" s="28" t="s">
        <v>142</v>
      </c>
      <c r="G440" s="45">
        <v>32</v>
      </c>
      <c r="H440" s="46">
        <v>184000</v>
      </c>
      <c r="I440" s="47">
        <f>G440*H440</f>
        <v>5888000</v>
      </c>
      <c r="J440" s="48" t="str">
        <f>IF(ABS(G440*H440-5888000)&lt;1,"✓ OK","⚠ ÉCART")</f>
        <v>✓ OK</v>
      </c>
    </row>
    <row r="441" spans="1:10" ht="15.75" customHeight="1" x14ac:dyDescent="0.25">
      <c r="A441" s="35" t="s">
        <v>1176</v>
      </c>
      <c r="B441" s="17" t="s">
        <v>184</v>
      </c>
      <c r="C441" s="36" t="s">
        <v>562</v>
      </c>
      <c r="D441" s="37" t="s">
        <v>562</v>
      </c>
      <c r="E441" s="19" t="s">
        <v>331</v>
      </c>
      <c r="F441" s="20" t="s">
        <v>142</v>
      </c>
      <c r="G441" s="38">
        <v>20</v>
      </c>
      <c r="H441" s="39">
        <v>281750</v>
      </c>
      <c r="I441" s="40">
        <f>G441*H441</f>
        <v>5635000</v>
      </c>
      <c r="J441" s="41" t="str">
        <f>IF(ABS(G441*H441-5635000)&lt;1,"✓ OK","⚠ ÉCART")</f>
        <v>✓ OK</v>
      </c>
    </row>
    <row r="442" spans="1:10" ht="15.75" customHeight="1" x14ac:dyDescent="0.25">
      <c r="A442" s="42" t="s">
        <v>1177</v>
      </c>
      <c r="B442" s="25" t="s">
        <v>184</v>
      </c>
      <c r="C442" s="43" t="s">
        <v>562</v>
      </c>
      <c r="D442" s="44" t="s">
        <v>562</v>
      </c>
      <c r="E442" s="27" t="s">
        <v>334</v>
      </c>
      <c r="F442" s="28" t="s">
        <v>142</v>
      </c>
      <c r="G442" s="45">
        <v>1</v>
      </c>
      <c r="H442" s="46">
        <v>3450000</v>
      </c>
      <c r="I442" s="47">
        <f>G442*H442</f>
        <v>3450000</v>
      </c>
      <c r="J442" s="48" t="str">
        <f>IF(ABS(G442*H442-3450000)&lt;1,"✓ OK","⚠ ÉCART")</f>
        <v>✓ OK</v>
      </c>
    </row>
    <row r="443" spans="1:10" ht="15.75" customHeight="1" x14ac:dyDescent="0.25">
      <c r="A443" s="35" t="s">
        <v>1178</v>
      </c>
      <c r="B443" s="17" t="s">
        <v>184</v>
      </c>
      <c r="C443" s="36" t="s">
        <v>562</v>
      </c>
      <c r="D443" s="37" t="s">
        <v>562</v>
      </c>
      <c r="E443" s="19" t="s">
        <v>1179</v>
      </c>
      <c r="F443" s="20" t="s">
        <v>1180</v>
      </c>
      <c r="G443" s="38">
        <v>1</v>
      </c>
      <c r="H443" s="39">
        <v>4025000</v>
      </c>
      <c r="I443" s="40">
        <f>G443*H443</f>
        <v>4025000</v>
      </c>
      <c r="J443" s="41" t="str">
        <f>IF(ABS(G443*H443-4025000)&lt;1,"✓ OK","⚠ ÉCART")</f>
        <v>✓ OK</v>
      </c>
    </row>
    <row r="444" spans="1:10" ht="19.5" customHeight="1" x14ac:dyDescent="0.25">
      <c r="A444" s="7" t="s">
        <v>1181</v>
      </c>
      <c r="B444" s="7"/>
      <c r="C444" s="7"/>
      <c r="D444" s="7"/>
      <c r="E444" s="7"/>
      <c r="F444" s="7"/>
      <c r="G444" s="7"/>
      <c r="H444" s="7"/>
      <c r="I444" s="7"/>
      <c r="J444" s="7"/>
    </row>
    <row r="445" spans="1:10" ht="15.75" customHeight="1" x14ac:dyDescent="0.25">
      <c r="A445" s="6" t="s">
        <v>1182</v>
      </c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5">
      <c r="A446" s="42" t="s">
        <v>1183</v>
      </c>
      <c r="B446" s="25" t="s">
        <v>337</v>
      </c>
      <c r="C446" s="43" t="s">
        <v>562</v>
      </c>
      <c r="D446" s="44" t="s">
        <v>562</v>
      </c>
      <c r="E446" s="27" t="s">
        <v>339</v>
      </c>
      <c r="F446" s="28" t="s">
        <v>142</v>
      </c>
      <c r="G446" s="45">
        <v>6</v>
      </c>
      <c r="H446" s="46">
        <v>2300000</v>
      </c>
      <c r="I446" s="47">
        <f>G446*H446</f>
        <v>13800000</v>
      </c>
      <c r="J446" s="48" t="str">
        <f>IF(ABS(G446*H446-13800000)&lt;1,"✓ OK","⚠ ÉCART")</f>
        <v>✓ OK</v>
      </c>
    </row>
    <row r="447" spans="1:10" ht="15.75" customHeight="1" x14ac:dyDescent="0.25">
      <c r="A447" s="6" t="s">
        <v>1184</v>
      </c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5">
      <c r="A448" s="42" t="s">
        <v>1185</v>
      </c>
      <c r="B448" s="25" t="s">
        <v>337</v>
      </c>
      <c r="C448" s="43" t="s">
        <v>562</v>
      </c>
      <c r="D448" s="44" t="s">
        <v>562</v>
      </c>
      <c r="E448" s="27" t="s">
        <v>343</v>
      </c>
      <c r="F448" s="28" t="s">
        <v>142</v>
      </c>
      <c r="G448" s="45">
        <v>30</v>
      </c>
      <c r="H448" s="46">
        <v>345000</v>
      </c>
      <c r="I448" s="47">
        <f>G448*H448</f>
        <v>10350000</v>
      </c>
      <c r="J448" s="48" t="str">
        <f>IF(ABS(G448*H448-10350000)&lt;1,"✓ OK","⚠ ÉCART")</f>
        <v>✓ OK</v>
      </c>
    </row>
    <row r="449" spans="1:10" ht="15.75" customHeight="1" x14ac:dyDescent="0.25">
      <c r="A449" s="35" t="s">
        <v>1186</v>
      </c>
      <c r="B449" s="17" t="s">
        <v>337</v>
      </c>
      <c r="C449" s="36" t="s">
        <v>562</v>
      </c>
      <c r="D449" s="37" t="s">
        <v>562</v>
      </c>
      <c r="E449" s="19" t="s">
        <v>347</v>
      </c>
      <c r="F449" s="20" t="s">
        <v>142</v>
      </c>
      <c r="G449" s="38">
        <v>20</v>
      </c>
      <c r="H449" s="39">
        <v>460000</v>
      </c>
      <c r="I449" s="40">
        <f>G449*H449</f>
        <v>9200000</v>
      </c>
      <c r="J449" s="41" t="str">
        <f>IF(ABS(G449*H449-9200000)&lt;1,"✓ OK","⚠ ÉCART")</f>
        <v>✓ OK</v>
      </c>
    </row>
    <row r="450" spans="1:10" ht="15.75" customHeight="1" x14ac:dyDescent="0.25">
      <c r="A450" s="42" t="s">
        <v>1187</v>
      </c>
      <c r="B450" s="25" t="s">
        <v>337</v>
      </c>
      <c r="C450" s="43" t="s">
        <v>562</v>
      </c>
      <c r="D450" s="44" t="s">
        <v>562</v>
      </c>
      <c r="E450" s="27" t="s">
        <v>350</v>
      </c>
      <c r="F450" s="28" t="s">
        <v>142</v>
      </c>
      <c r="G450" s="45">
        <v>12</v>
      </c>
      <c r="H450" s="46">
        <v>575000</v>
      </c>
      <c r="I450" s="47">
        <f>G450*H450</f>
        <v>6900000</v>
      </c>
      <c r="J450" s="48" t="str">
        <f>IF(ABS(G450*H450-6900000)&lt;1,"✓ OK","⚠ ÉCART")</f>
        <v>✓ OK</v>
      </c>
    </row>
    <row r="451" spans="1:10" ht="15.75" customHeight="1" x14ac:dyDescent="0.25">
      <c r="A451" s="6" t="s">
        <v>1188</v>
      </c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5">
      <c r="A452" s="42" t="s">
        <v>1189</v>
      </c>
      <c r="B452" s="25" t="s">
        <v>337</v>
      </c>
      <c r="C452" s="43" t="s">
        <v>562</v>
      </c>
      <c r="D452" s="44" t="s">
        <v>562</v>
      </c>
      <c r="E452" s="27" t="s">
        <v>1190</v>
      </c>
      <c r="F452" s="28" t="s">
        <v>1180</v>
      </c>
      <c r="G452" s="45">
        <v>1</v>
      </c>
      <c r="H452" s="46">
        <v>690000</v>
      </c>
      <c r="I452" s="47">
        <f t="shared" ref="I452:I460" si="23">G452*H452</f>
        <v>690000</v>
      </c>
      <c r="J452" s="48" t="str">
        <f>IF(ABS(G452*H452-690000)&lt;1,"✓ OK","⚠ ÉCART")</f>
        <v>✓ OK</v>
      </c>
    </row>
    <row r="453" spans="1:10" ht="15.75" customHeight="1" x14ac:dyDescent="0.25">
      <c r="A453" s="35" t="s">
        <v>1191</v>
      </c>
      <c r="B453" s="17" t="s">
        <v>337</v>
      </c>
      <c r="C453" s="36" t="s">
        <v>562</v>
      </c>
      <c r="D453" s="37" t="s">
        <v>562</v>
      </c>
      <c r="E453" s="19" t="s">
        <v>353</v>
      </c>
      <c r="F453" s="20" t="s">
        <v>142</v>
      </c>
      <c r="G453" s="38">
        <v>62</v>
      </c>
      <c r="H453" s="39">
        <v>126500</v>
      </c>
      <c r="I453" s="40">
        <f t="shared" si="23"/>
        <v>7843000</v>
      </c>
      <c r="J453" s="41" t="str">
        <f>IF(ABS(G453*H453-7843000)&lt;1,"✓ OK","⚠ ÉCART")</f>
        <v>✓ OK</v>
      </c>
    </row>
    <row r="454" spans="1:10" ht="15.75" customHeight="1" x14ac:dyDescent="0.25">
      <c r="A454" s="42" t="s">
        <v>1192</v>
      </c>
      <c r="B454" s="25" t="s">
        <v>337</v>
      </c>
      <c r="C454" s="43" t="s">
        <v>562</v>
      </c>
      <c r="D454" s="44" t="s">
        <v>562</v>
      </c>
      <c r="E454" s="27" t="s">
        <v>1193</v>
      </c>
      <c r="F454" s="28" t="s">
        <v>1180</v>
      </c>
      <c r="G454" s="45">
        <v>1</v>
      </c>
      <c r="H454" s="46">
        <v>1035000</v>
      </c>
      <c r="I454" s="47">
        <f t="shared" si="23"/>
        <v>1035000</v>
      </c>
      <c r="J454" s="48" t="str">
        <f>IF(ABS(G454*H454-1035000)&lt;1,"✓ OK","⚠ ÉCART")</f>
        <v>✓ OK</v>
      </c>
    </row>
    <row r="455" spans="1:10" ht="15.75" customHeight="1" x14ac:dyDescent="0.25">
      <c r="A455" s="35" t="s">
        <v>1194</v>
      </c>
      <c r="B455" s="17" t="s">
        <v>337</v>
      </c>
      <c r="C455" s="36" t="s">
        <v>562</v>
      </c>
      <c r="D455" s="37" t="s">
        <v>562</v>
      </c>
      <c r="E455" s="19" t="s">
        <v>1195</v>
      </c>
      <c r="F455" s="20" t="s">
        <v>1180</v>
      </c>
      <c r="G455" s="38">
        <v>1</v>
      </c>
      <c r="H455" s="39">
        <v>1265000</v>
      </c>
      <c r="I455" s="40">
        <f t="shared" si="23"/>
        <v>1265000</v>
      </c>
      <c r="J455" s="41" t="str">
        <f>IF(ABS(G455*H455-1265000)&lt;1,"✓ OK","⚠ ÉCART")</f>
        <v>✓ OK</v>
      </c>
    </row>
    <row r="456" spans="1:10" ht="15.75" customHeight="1" x14ac:dyDescent="0.25">
      <c r="A456" s="42" t="s">
        <v>1196</v>
      </c>
      <c r="B456" s="25" t="s">
        <v>337</v>
      </c>
      <c r="C456" s="43" t="s">
        <v>562</v>
      </c>
      <c r="D456" s="44" t="s">
        <v>562</v>
      </c>
      <c r="E456" s="27" t="s">
        <v>1197</v>
      </c>
      <c r="F456" s="28" t="s">
        <v>1180</v>
      </c>
      <c r="G456" s="45">
        <v>1</v>
      </c>
      <c r="H456" s="46">
        <v>1437500</v>
      </c>
      <c r="I456" s="47">
        <f t="shared" si="23"/>
        <v>1437500</v>
      </c>
      <c r="J456" s="48" t="str">
        <f>IF(ABS(G456*H456-1437500)&lt;1,"✓ OK","⚠ ÉCART")</f>
        <v>✓ OK</v>
      </c>
    </row>
    <row r="457" spans="1:10" ht="15.75" customHeight="1" x14ac:dyDescent="0.25">
      <c r="A457" s="35" t="s">
        <v>1198</v>
      </c>
      <c r="B457" s="17" t="s">
        <v>337</v>
      </c>
      <c r="C457" s="36" t="s">
        <v>562</v>
      </c>
      <c r="D457" s="37" t="s">
        <v>562</v>
      </c>
      <c r="E457" s="19" t="s">
        <v>1199</v>
      </c>
      <c r="F457" s="20" t="s">
        <v>1180</v>
      </c>
      <c r="G457" s="38">
        <v>1</v>
      </c>
      <c r="H457" s="39">
        <v>13800000</v>
      </c>
      <c r="I457" s="40">
        <f t="shared" si="23"/>
        <v>13800000</v>
      </c>
      <c r="J457" s="41" t="str">
        <f>IF(ABS(G457*H457-13800000)&lt;1,"✓ OK","⚠ ÉCART")</f>
        <v>✓ OK</v>
      </c>
    </row>
    <row r="458" spans="1:10" ht="15.75" customHeight="1" x14ac:dyDescent="0.25">
      <c r="A458" s="42" t="s">
        <v>1200</v>
      </c>
      <c r="B458" s="25" t="s">
        <v>337</v>
      </c>
      <c r="C458" s="43" t="s">
        <v>562</v>
      </c>
      <c r="D458" s="44" t="s">
        <v>562</v>
      </c>
      <c r="E458" s="27" t="s">
        <v>357</v>
      </c>
      <c r="F458" s="28" t="s">
        <v>142</v>
      </c>
      <c r="G458" s="45">
        <v>10</v>
      </c>
      <c r="H458" s="46">
        <v>80500</v>
      </c>
      <c r="I458" s="47">
        <f t="shared" si="23"/>
        <v>805000</v>
      </c>
      <c r="J458" s="48" t="str">
        <f>IF(ABS(G458*H458-805000)&lt;1,"✓ OK","⚠ ÉCART")</f>
        <v>✓ OK</v>
      </c>
    </row>
    <row r="459" spans="1:10" ht="15.75" customHeight="1" x14ac:dyDescent="0.25">
      <c r="A459" s="35" t="s">
        <v>1201</v>
      </c>
      <c r="B459" s="17" t="s">
        <v>337</v>
      </c>
      <c r="C459" s="36" t="s">
        <v>562</v>
      </c>
      <c r="D459" s="37" t="s">
        <v>562</v>
      </c>
      <c r="E459" s="19" t="s">
        <v>360</v>
      </c>
      <c r="F459" s="20" t="s">
        <v>142</v>
      </c>
      <c r="G459" s="38">
        <v>8</v>
      </c>
      <c r="H459" s="39">
        <v>97750</v>
      </c>
      <c r="I459" s="40">
        <f t="shared" si="23"/>
        <v>782000</v>
      </c>
      <c r="J459" s="41" t="str">
        <f>IF(ABS(G459*H459-782000)&lt;1,"✓ OK","⚠ ÉCART")</f>
        <v>✓ OK</v>
      </c>
    </row>
    <row r="460" spans="1:10" ht="15.75" customHeight="1" x14ac:dyDescent="0.25">
      <c r="A460" s="42" t="s">
        <v>1202</v>
      </c>
      <c r="B460" s="25" t="s">
        <v>337</v>
      </c>
      <c r="C460" s="43" t="s">
        <v>562</v>
      </c>
      <c r="D460" s="44" t="s">
        <v>562</v>
      </c>
      <c r="E460" s="27" t="s">
        <v>363</v>
      </c>
      <c r="F460" s="28" t="s">
        <v>142</v>
      </c>
      <c r="G460" s="45">
        <v>4</v>
      </c>
      <c r="H460" s="46">
        <v>138000</v>
      </c>
      <c r="I460" s="47">
        <f t="shared" si="23"/>
        <v>552000</v>
      </c>
      <c r="J460" s="48" t="str">
        <f>IF(ABS(G460*H460-552000)&lt;1,"✓ OK","⚠ ÉCART")</f>
        <v>✓ OK</v>
      </c>
    </row>
    <row r="461" spans="1:10" ht="19.5" customHeight="1" x14ac:dyDescent="0.25">
      <c r="A461" s="7" t="s">
        <v>1203</v>
      </c>
      <c r="B461" s="7"/>
      <c r="C461" s="7"/>
      <c r="D461" s="7"/>
      <c r="E461" s="7"/>
      <c r="F461" s="7"/>
      <c r="G461" s="7"/>
      <c r="H461" s="7"/>
      <c r="I461" s="7"/>
      <c r="J461" s="7"/>
    </row>
    <row r="462" spans="1:10" ht="15.75" customHeight="1" x14ac:dyDescent="0.25">
      <c r="A462" s="6" t="s">
        <v>1204</v>
      </c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5">
      <c r="A463" s="35" t="s">
        <v>1205</v>
      </c>
      <c r="B463" s="17" t="s">
        <v>366</v>
      </c>
      <c r="C463" s="36" t="s">
        <v>562</v>
      </c>
      <c r="D463" s="37" t="s">
        <v>562</v>
      </c>
      <c r="E463" s="19" t="s">
        <v>368</v>
      </c>
      <c r="F463" s="20" t="s">
        <v>142</v>
      </c>
      <c r="G463" s="38">
        <v>20</v>
      </c>
      <c r="H463" s="39">
        <v>86250</v>
      </c>
      <c r="I463" s="40">
        <f t="shared" ref="I463:I478" si="24">G463*H463</f>
        <v>1725000</v>
      </c>
      <c r="J463" s="41" t="str">
        <f>IF(ABS(G463*H463-1725000)&lt;1,"✓ OK","⚠ ÉCART")</f>
        <v>✓ OK</v>
      </c>
    </row>
    <row r="464" spans="1:10" ht="15.75" customHeight="1" x14ac:dyDescent="0.25">
      <c r="A464" s="42" t="s">
        <v>1206</v>
      </c>
      <c r="B464" s="25" t="s">
        <v>366</v>
      </c>
      <c r="C464" s="43" t="s">
        <v>562</v>
      </c>
      <c r="D464" s="44" t="s">
        <v>562</v>
      </c>
      <c r="E464" s="27" t="s">
        <v>372</v>
      </c>
      <c r="F464" s="28" t="s">
        <v>142</v>
      </c>
      <c r="G464" s="45">
        <v>10</v>
      </c>
      <c r="H464" s="46">
        <v>86250</v>
      </c>
      <c r="I464" s="47">
        <f t="shared" si="24"/>
        <v>862500</v>
      </c>
      <c r="J464" s="48" t="str">
        <f>IF(ABS(G464*H464-862500)&lt;1,"✓ OK","⚠ ÉCART")</f>
        <v>✓ OK</v>
      </c>
    </row>
    <row r="465" spans="1:10" ht="15.75" customHeight="1" x14ac:dyDescent="0.25">
      <c r="A465" s="35" t="s">
        <v>1207</v>
      </c>
      <c r="B465" s="17" t="s">
        <v>366</v>
      </c>
      <c r="C465" s="36" t="s">
        <v>562</v>
      </c>
      <c r="D465" s="37" t="s">
        <v>562</v>
      </c>
      <c r="E465" s="19" t="s">
        <v>375</v>
      </c>
      <c r="F465" s="20" t="s">
        <v>142</v>
      </c>
      <c r="G465" s="38">
        <v>5</v>
      </c>
      <c r="H465" s="39">
        <v>172500</v>
      </c>
      <c r="I465" s="40">
        <f t="shared" si="24"/>
        <v>862500</v>
      </c>
      <c r="J465" s="41" t="str">
        <f>IF(ABS(G465*H465-862500)&lt;1,"✓ OK","⚠ ÉCART")</f>
        <v>✓ OK</v>
      </c>
    </row>
    <row r="466" spans="1:10" ht="15.75" customHeight="1" x14ac:dyDescent="0.25">
      <c r="A466" s="42" t="s">
        <v>1208</v>
      </c>
      <c r="B466" s="25" t="s">
        <v>366</v>
      </c>
      <c r="C466" s="43" t="s">
        <v>562</v>
      </c>
      <c r="D466" s="44" t="s">
        <v>562</v>
      </c>
      <c r="E466" s="27" t="s">
        <v>1209</v>
      </c>
      <c r="F466" s="28" t="s">
        <v>142</v>
      </c>
      <c r="G466" s="45">
        <v>6</v>
      </c>
      <c r="H466" s="46">
        <v>12650</v>
      </c>
      <c r="I466" s="47">
        <f t="shared" si="24"/>
        <v>75900</v>
      </c>
      <c r="J466" s="48" t="str">
        <f>IF(ABS(G466*H466-75900)&lt;1,"✓ OK","⚠ ÉCART")</f>
        <v>✓ OK</v>
      </c>
    </row>
    <row r="467" spans="1:10" ht="15.75" customHeight="1" x14ac:dyDescent="0.25">
      <c r="A467" s="35" t="s">
        <v>1210</v>
      </c>
      <c r="B467" s="17" t="s">
        <v>366</v>
      </c>
      <c r="C467" s="36" t="s">
        <v>562</v>
      </c>
      <c r="D467" s="37" t="s">
        <v>562</v>
      </c>
      <c r="E467" s="19" t="s">
        <v>378</v>
      </c>
      <c r="F467" s="20" t="s">
        <v>142</v>
      </c>
      <c r="G467" s="38">
        <v>25</v>
      </c>
      <c r="H467" s="39">
        <v>63250</v>
      </c>
      <c r="I467" s="40">
        <f t="shared" si="24"/>
        <v>1581250</v>
      </c>
      <c r="J467" s="41" t="str">
        <f>IF(ABS(G467*H467-1581250)&lt;1,"✓ OK","⚠ ÉCART")</f>
        <v>✓ OK</v>
      </c>
    </row>
    <row r="468" spans="1:10" ht="15.75" customHeight="1" x14ac:dyDescent="0.25">
      <c r="A468" s="42" t="s">
        <v>1211</v>
      </c>
      <c r="B468" s="25" t="s">
        <v>366</v>
      </c>
      <c r="C468" s="43" t="s">
        <v>562</v>
      </c>
      <c r="D468" s="44" t="s">
        <v>562</v>
      </c>
      <c r="E468" s="27" t="s">
        <v>1212</v>
      </c>
      <c r="F468" s="28" t="s">
        <v>142</v>
      </c>
      <c r="G468" s="45">
        <v>6</v>
      </c>
      <c r="H468" s="46">
        <v>74750</v>
      </c>
      <c r="I468" s="47">
        <f t="shared" si="24"/>
        <v>448500</v>
      </c>
      <c r="J468" s="48" t="str">
        <f>IF(ABS(G468*H468-448500)&lt;1,"✓ OK","⚠ ÉCART")</f>
        <v>✓ OK</v>
      </c>
    </row>
    <row r="469" spans="1:10" ht="15.75" customHeight="1" x14ac:dyDescent="0.25">
      <c r="A469" s="35" t="s">
        <v>1213</v>
      </c>
      <c r="B469" s="17" t="s">
        <v>366</v>
      </c>
      <c r="C469" s="36" t="s">
        <v>562</v>
      </c>
      <c r="D469" s="37" t="s">
        <v>562</v>
      </c>
      <c r="E469" s="19" t="s">
        <v>1214</v>
      </c>
      <c r="F469" s="20" t="s">
        <v>16</v>
      </c>
      <c r="G469" s="38">
        <v>1</v>
      </c>
      <c r="H469" s="39">
        <v>1035000</v>
      </c>
      <c r="I469" s="40">
        <f t="shared" si="24"/>
        <v>1035000</v>
      </c>
      <c r="J469" s="41" t="str">
        <f>IF(ABS(G469*H469-1035000)&lt;1,"✓ OK","⚠ ÉCART")</f>
        <v>✓ OK</v>
      </c>
    </row>
    <row r="470" spans="1:10" ht="15.75" customHeight="1" x14ac:dyDescent="0.25">
      <c r="A470" s="42" t="s">
        <v>1215</v>
      </c>
      <c r="B470" s="25" t="s">
        <v>366</v>
      </c>
      <c r="C470" s="43" t="s">
        <v>562</v>
      </c>
      <c r="D470" s="44" t="s">
        <v>562</v>
      </c>
      <c r="E470" s="27" t="s">
        <v>1216</v>
      </c>
      <c r="F470" s="28" t="s">
        <v>16</v>
      </c>
      <c r="G470" s="45">
        <v>1</v>
      </c>
      <c r="H470" s="46">
        <v>575000</v>
      </c>
      <c r="I470" s="47">
        <f t="shared" si="24"/>
        <v>575000</v>
      </c>
      <c r="J470" s="48" t="str">
        <f>IF(ABS(G470*H470-575000)&lt;1,"✓ OK","⚠ ÉCART")</f>
        <v>✓ OK</v>
      </c>
    </row>
    <row r="471" spans="1:10" ht="15.75" customHeight="1" x14ac:dyDescent="0.25">
      <c r="A471" s="35" t="s">
        <v>1217</v>
      </c>
      <c r="B471" s="17" t="s">
        <v>366</v>
      </c>
      <c r="C471" s="36" t="s">
        <v>562</v>
      </c>
      <c r="D471" s="37" t="s">
        <v>562</v>
      </c>
      <c r="E471" s="19" t="s">
        <v>1218</v>
      </c>
      <c r="F471" s="20" t="s">
        <v>142</v>
      </c>
      <c r="G471" s="38">
        <v>1</v>
      </c>
      <c r="H471" s="39">
        <v>74750</v>
      </c>
      <c r="I471" s="40">
        <f t="shared" si="24"/>
        <v>74750</v>
      </c>
      <c r="J471" s="41" t="str">
        <f>IF(ABS(G471*H471-74750)&lt;1,"✓ OK","⚠ ÉCART")</f>
        <v>✓ OK</v>
      </c>
    </row>
    <row r="472" spans="1:10" ht="15.75" customHeight="1" x14ac:dyDescent="0.25">
      <c r="A472" s="42" t="s">
        <v>1219</v>
      </c>
      <c r="B472" s="25" t="s">
        <v>366</v>
      </c>
      <c r="C472" s="43" t="s">
        <v>562</v>
      </c>
      <c r="D472" s="44" t="s">
        <v>562</v>
      </c>
      <c r="E472" s="27" t="s">
        <v>384</v>
      </c>
      <c r="F472" s="28" t="s">
        <v>142</v>
      </c>
      <c r="G472" s="45">
        <v>4</v>
      </c>
      <c r="H472" s="46">
        <v>71300</v>
      </c>
      <c r="I472" s="47">
        <f t="shared" si="24"/>
        <v>285200</v>
      </c>
      <c r="J472" s="48" t="str">
        <f>IF(ABS(G472*H472-285200)&lt;1,"✓ OK","⚠ ÉCART")</f>
        <v>✓ OK</v>
      </c>
    </row>
    <row r="473" spans="1:10" ht="15.75" customHeight="1" x14ac:dyDescent="0.25">
      <c r="A473" s="35" t="s">
        <v>1220</v>
      </c>
      <c r="B473" s="17" t="s">
        <v>366</v>
      </c>
      <c r="C473" s="36" t="s">
        <v>562</v>
      </c>
      <c r="D473" s="37" t="s">
        <v>562</v>
      </c>
      <c r="E473" s="19" t="s">
        <v>387</v>
      </c>
      <c r="F473" s="20" t="s">
        <v>142</v>
      </c>
      <c r="G473" s="38">
        <v>4</v>
      </c>
      <c r="H473" s="39">
        <v>120750</v>
      </c>
      <c r="I473" s="40">
        <f t="shared" si="24"/>
        <v>483000</v>
      </c>
      <c r="J473" s="41" t="str">
        <f>IF(ABS(G473*H473-483000)&lt;1,"✓ OK","⚠ ÉCART")</f>
        <v>✓ OK</v>
      </c>
    </row>
    <row r="474" spans="1:10" ht="15.75" customHeight="1" x14ac:dyDescent="0.25">
      <c r="A474" s="42" t="s">
        <v>1221</v>
      </c>
      <c r="B474" s="25" t="s">
        <v>366</v>
      </c>
      <c r="C474" s="43" t="s">
        <v>562</v>
      </c>
      <c r="D474" s="44" t="s">
        <v>562</v>
      </c>
      <c r="E474" s="27" t="s">
        <v>390</v>
      </c>
      <c r="F474" s="28" t="s">
        <v>142</v>
      </c>
      <c r="G474" s="45">
        <v>1</v>
      </c>
      <c r="H474" s="46">
        <v>141450</v>
      </c>
      <c r="I474" s="47">
        <f t="shared" si="24"/>
        <v>141450</v>
      </c>
      <c r="J474" s="48" t="str">
        <f>IF(ABS(G474*H474-141450)&lt;1,"✓ OK","⚠ ÉCART")</f>
        <v>✓ OK</v>
      </c>
    </row>
    <row r="475" spans="1:10" ht="15.75" customHeight="1" x14ac:dyDescent="0.25">
      <c r="A475" s="35" t="s">
        <v>1222</v>
      </c>
      <c r="B475" s="17" t="s">
        <v>366</v>
      </c>
      <c r="C475" s="36" t="s">
        <v>562</v>
      </c>
      <c r="D475" s="37" t="s">
        <v>562</v>
      </c>
      <c r="E475" s="19" t="s">
        <v>1223</v>
      </c>
      <c r="F475" s="20" t="s">
        <v>142</v>
      </c>
      <c r="G475" s="38">
        <v>4</v>
      </c>
      <c r="H475" s="39">
        <v>11500</v>
      </c>
      <c r="I475" s="40">
        <f t="shared" si="24"/>
        <v>46000</v>
      </c>
      <c r="J475" s="41" t="str">
        <f>IF(ABS(G475*H475-46000)&lt;1,"✓ OK","⚠ ÉCART")</f>
        <v>✓ OK</v>
      </c>
    </row>
    <row r="476" spans="1:10" ht="15.75" customHeight="1" x14ac:dyDescent="0.25">
      <c r="A476" s="42" t="s">
        <v>1224</v>
      </c>
      <c r="B476" s="25" t="s">
        <v>366</v>
      </c>
      <c r="C476" s="43" t="s">
        <v>562</v>
      </c>
      <c r="D476" s="44" t="s">
        <v>562</v>
      </c>
      <c r="E476" s="27" t="s">
        <v>1225</v>
      </c>
      <c r="F476" s="28" t="s">
        <v>16</v>
      </c>
      <c r="G476" s="45">
        <v>1</v>
      </c>
      <c r="H476" s="46">
        <v>747500</v>
      </c>
      <c r="I476" s="47">
        <f t="shared" si="24"/>
        <v>747500</v>
      </c>
      <c r="J476" s="48" t="str">
        <f>IF(ABS(G476*H476-747500)&lt;1,"✓ OK","⚠ ÉCART")</f>
        <v>✓ OK</v>
      </c>
    </row>
    <row r="477" spans="1:10" ht="15.75" customHeight="1" x14ac:dyDescent="0.25">
      <c r="A477" s="35" t="s">
        <v>1226</v>
      </c>
      <c r="B477" s="17" t="s">
        <v>366</v>
      </c>
      <c r="C477" s="36" t="s">
        <v>562</v>
      </c>
      <c r="D477" s="37" t="s">
        <v>562</v>
      </c>
      <c r="E477" s="19" t="s">
        <v>1227</v>
      </c>
      <c r="F477" s="20" t="s">
        <v>16</v>
      </c>
      <c r="G477" s="38">
        <v>1</v>
      </c>
      <c r="H477" s="39">
        <v>805000</v>
      </c>
      <c r="I477" s="40">
        <f t="shared" si="24"/>
        <v>805000</v>
      </c>
      <c r="J477" s="41" t="str">
        <f>IF(ABS(G477*H477-805000)&lt;1,"✓ OK","⚠ ÉCART")</f>
        <v>✓ OK</v>
      </c>
    </row>
    <row r="478" spans="1:10" ht="15.75" customHeight="1" x14ac:dyDescent="0.25">
      <c r="A478" s="42" t="s">
        <v>1228</v>
      </c>
      <c r="B478" s="25" t="s">
        <v>366</v>
      </c>
      <c r="C478" s="43" t="s">
        <v>562</v>
      </c>
      <c r="D478" s="44" t="s">
        <v>562</v>
      </c>
      <c r="E478" s="27" t="s">
        <v>1229</v>
      </c>
      <c r="F478" s="28" t="s">
        <v>16</v>
      </c>
      <c r="G478" s="45">
        <v>1</v>
      </c>
      <c r="H478" s="46">
        <v>575000</v>
      </c>
      <c r="I478" s="47">
        <f t="shared" si="24"/>
        <v>575000</v>
      </c>
      <c r="J478" s="48" t="str">
        <f>IF(ABS(G478*H478-575000)&lt;1,"✓ OK","⚠ ÉCART")</f>
        <v>✓ OK</v>
      </c>
    </row>
    <row r="479" spans="1:10" ht="15.75" customHeight="1" x14ac:dyDescent="0.25">
      <c r="A479" s="6" t="s">
        <v>1230</v>
      </c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5">
      <c r="A480" s="42" t="s">
        <v>1231</v>
      </c>
      <c r="B480" s="25" t="s">
        <v>366</v>
      </c>
      <c r="C480" s="43" t="s">
        <v>562</v>
      </c>
      <c r="D480" s="44" t="s">
        <v>562</v>
      </c>
      <c r="E480" s="27" t="s">
        <v>393</v>
      </c>
      <c r="F480" s="28" t="s">
        <v>142</v>
      </c>
      <c r="G480" s="45">
        <v>5</v>
      </c>
      <c r="H480" s="46">
        <v>272320</v>
      </c>
      <c r="I480" s="47">
        <f>G480*H480</f>
        <v>1361600</v>
      </c>
      <c r="J480" s="48" t="str">
        <f>IF(ABS(G480*H480-1361600)&lt;1,"✓ OK","⚠ ÉCART")</f>
        <v>✓ OK</v>
      </c>
    </row>
    <row r="481" spans="1:10" ht="15.75" customHeight="1" x14ac:dyDescent="0.25">
      <c r="A481" s="35" t="s">
        <v>1232</v>
      </c>
      <c r="B481" s="17" t="s">
        <v>366</v>
      </c>
      <c r="C481" s="36" t="s">
        <v>562</v>
      </c>
      <c r="D481" s="37" t="s">
        <v>562</v>
      </c>
      <c r="E481" s="19" t="s">
        <v>397</v>
      </c>
      <c r="F481" s="20" t="s">
        <v>142</v>
      </c>
      <c r="G481" s="38">
        <v>10</v>
      </c>
      <c r="H481" s="39">
        <v>224250</v>
      </c>
      <c r="I481" s="40">
        <f>G481*H481</f>
        <v>2242500</v>
      </c>
      <c r="J481" s="41" t="str">
        <f>IF(ABS(G481*H481-2242500)&lt;1,"✓ OK","⚠ ÉCART")</f>
        <v>✓ OK</v>
      </c>
    </row>
    <row r="482" spans="1:10" ht="15.75" customHeight="1" x14ac:dyDescent="0.25">
      <c r="A482" s="42" t="s">
        <v>1233</v>
      </c>
      <c r="B482" s="25" t="s">
        <v>366</v>
      </c>
      <c r="C482" s="43" t="s">
        <v>562</v>
      </c>
      <c r="D482" s="44" t="s">
        <v>562</v>
      </c>
      <c r="E482" s="27" t="s">
        <v>400</v>
      </c>
      <c r="F482" s="28" t="s">
        <v>142</v>
      </c>
      <c r="G482" s="45">
        <v>1</v>
      </c>
      <c r="H482" s="46">
        <v>1092500</v>
      </c>
      <c r="I482" s="47">
        <f>G482*H482</f>
        <v>1092500</v>
      </c>
      <c r="J482" s="48" t="str">
        <f>IF(ABS(G482*H482-1092500)&lt;1,"✓ OK","⚠ ÉCART")</f>
        <v>✓ OK</v>
      </c>
    </row>
    <row r="483" spans="1:10" ht="15.75" customHeight="1" x14ac:dyDescent="0.25">
      <c r="A483" s="35" t="s">
        <v>1234</v>
      </c>
      <c r="B483" s="17" t="s">
        <v>366</v>
      </c>
      <c r="C483" s="36" t="s">
        <v>562</v>
      </c>
      <c r="D483" s="37" t="s">
        <v>562</v>
      </c>
      <c r="E483" s="19" t="s">
        <v>403</v>
      </c>
      <c r="F483" s="20" t="s">
        <v>142</v>
      </c>
      <c r="G483" s="38">
        <v>1</v>
      </c>
      <c r="H483" s="39">
        <v>184000</v>
      </c>
      <c r="I483" s="40">
        <f>G483*H483</f>
        <v>184000</v>
      </c>
      <c r="J483" s="41" t="str">
        <f>IF(ABS(G483*H483-184000)&lt;1,"✓ OK","⚠ ÉCART")</f>
        <v>✓ OK</v>
      </c>
    </row>
    <row r="484" spans="1:10" ht="15.75" customHeight="1" x14ac:dyDescent="0.25">
      <c r="A484" s="42" t="s">
        <v>1235</v>
      </c>
      <c r="B484" s="25" t="s">
        <v>366</v>
      </c>
      <c r="C484" s="43" t="s">
        <v>562</v>
      </c>
      <c r="D484" s="44" t="s">
        <v>562</v>
      </c>
      <c r="E484" s="27" t="s">
        <v>1236</v>
      </c>
      <c r="F484" s="28" t="s">
        <v>16</v>
      </c>
      <c r="G484" s="45">
        <v>1</v>
      </c>
      <c r="H484" s="46">
        <v>575000</v>
      </c>
      <c r="I484" s="47">
        <f>G484*H484</f>
        <v>575000</v>
      </c>
      <c r="J484" s="48" t="str">
        <f>IF(ABS(G484*H484-575000)&lt;1,"✓ OK","⚠ ÉCART")</f>
        <v>✓ OK</v>
      </c>
    </row>
    <row r="485" spans="1:10" ht="15.75" customHeight="1" x14ac:dyDescent="0.25">
      <c r="A485" s="6" t="s">
        <v>1237</v>
      </c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5">
      <c r="A486" s="42" t="s">
        <v>1238</v>
      </c>
      <c r="B486" s="25" t="s">
        <v>366</v>
      </c>
      <c r="C486" s="43" t="s">
        <v>562</v>
      </c>
      <c r="D486" s="44" t="s">
        <v>562</v>
      </c>
      <c r="E486" s="27" t="s">
        <v>406</v>
      </c>
      <c r="F486" s="28" t="s">
        <v>142</v>
      </c>
      <c r="G486" s="45">
        <v>10</v>
      </c>
      <c r="H486" s="46">
        <v>230000</v>
      </c>
      <c r="I486" s="47">
        <f>G486*H486</f>
        <v>2300000</v>
      </c>
      <c r="J486" s="48" t="str">
        <f>IF(ABS(G486*H486-2300000)&lt;1,"✓ OK","⚠ ÉCART")</f>
        <v>✓ OK</v>
      </c>
    </row>
    <row r="487" spans="1:10" ht="19.5" customHeight="1" x14ac:dyDescent="0.25">
      <c r="A487" s="7" t="s">
        <v>1239</v>
      </c>
      <c r="B487" s="7"/>
      <c r="C487" s="7"/>
      <c r="D487" s="7"/>
      <c r="E487" s="7"/>
      <c r="F487" s="7"/>
      <c r="G487" s="7"/>
      <c r="H487" s="7"/>
      <c r="I487" s="7"/>
      <c r="J487" s="7"/>
    </row>
    <row r="488" spans="1:10" ht="15.75" customHeight="1" x14ac:dyDescent="0.25">
      <c r="A488" s="6" t="s">
        <v>1240</v>
      </c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5">
      <c r="A489" s="35" t="s">
        <v>1241</v>
      </c>
      <c r="B489" s="17" t="s">
        <v>515</v>
      </c>
      <c r="C489" s="36" t="s">
        <v>574</v>
      </c>
      <c r="D489" s="37" t="s">
        <v>575</v>
      </c>
      <c r="E489" s="19" t="s">
        <v>517</v>
      </c>
      <c r="F489" s="20" t="s">
        <v>54</v>
      </c>
      <c r="G489" s="38">
        <v>559</v>
      </c>
      <c r="H489" s="39">
        <v>26450</v>
      </c>
      <c r="I489" s="40">
        <f>G489*H489</f>
        <v>14785550</v>
      </c>
      <c r="J489" s="41" t="str">
        <f>IF(ABS(G489*H489-14785550)&lt;1,"✓ OK","⚠ ÉCART")</f>
        <v>✓ OK</v>
      </c>
    </row>
    <row r="490" spans="1:10" ht="15.75" customHeight="1" x14ac:dyDescent="0.25">
      <c r="A490" s="6" t="s">
        <v>1242</v>
      </c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5">
      <c r="A491" s="35" t="s">
        <v>1243</v>
      </c>
      <c r="B491" s="17" t="s">
        <v>515</v>
      </c>
      <c r="C491" s="36" t="s">
        <v>574</v>
      </c>
      <c r="D491" s="37" t="s">
        <v>579</v>
      </c>
      <c r="E491" s="19" t="s">
        <v>521</v>
      </c>
      <c r="F491" s="20" t="s">
        <v>54</v>
      </c>
      <c r="G491" s="38">
        <v>60.74</v>
      </c>
      <c r="H491" s="39">
        <v>39100</v>
      </c>
      <c r="I491" s="40">
        <f>G491*H491</f>
        <v>2374934</v>
      </c>
      <c r="J491" s="41" t="str">
        <f>IF(ABS(G491*H491-2374934)&lt;1,"✓ OK","⚠ ÉCART")</f>
        <v>✓ OK</v>
      </c>
    </row>
    <row r="492" spans="1:10" ht="15.75" customHeight="1" x14ac:dyDescent="0.25">
      <c r="A492" s="6" t="s">
        <v>1244</v>
      </c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5">
      <c r="A493" s="35" t="s">
        <v>1245</v>
      </c>
      <c r="B493" s="17" t="s">
        <v>515</v>
      </c>
      <c r="C493" s="36" t="s">
        <v>574</v>
      </c>
      <c r="D493" s="37" t="s">
        <v>744</v>
      </c>
      <c r="E493" s="19" t="s">
        <v>525</v>
      </c>
      <c r="F493" s="20" t="s">
        <v>54</v>
      </c>
      <c r="G493" s="38">
        <v>182</v>
      </c>
      <c r="H493" s="39">
        <v>23000</v>
      </c>
      <c r="I493" s="40">
        <f>G493*H493</f>
        <v>4186000</v>
      </c>
      <c r="J493" s="41" t="str">
        <f>IF(ABS(G493*H493-4186000)&lt;1,"✓ OK","⚠ ÉCART")</f>
        <v>✓ OK</v>
      </c>
    </row>
    <row r="494" spans="1:10" ht="15.75" customHeight="1" x14ac:dyDescent="0.25">
      <c r="A494" s="42" t="s">
        <v>1246</v>
      </c>
      <c r="B494" s="25" t="s">
        <v>515</v>
      </c>
      <c r="C494" s="43" t="s">
        <v>574</v>
      </c>
      <c r="D494" s="44" t="s">
        <v>744</v>
      </c>
      <c r="E494" s="27" t="s">
        <v>529</v>
      </c>
      <c r="F494" s="28" t="s">
        <v>112</v>
      </c>
      <c r="G494" s="45">
        <v>172.84</v>
      </c>
      <c r="H494" s="46">
        <v>5750</v>
      </c>
      <c r="I494" s="47">
        <f>G494*H494</f>
        <v>993830</v>
      </c>
      <c r="J494" s="48" t="str">
        <f>IF(ABS(G494*H494-993830)&lt;1,"✓ OK","⚠ ÉCART")</f>
        <v>✓ OK</v>
      </c>
    </row>
    <row r="495" spans="1:10" ht="15.75" customHeight="1" x14ac:dyDescent="0.25">
      <c r="A495" s="6" t="s">
        <v>1247</v>
      </c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5">
      <c r="A496" s="42" t="s">
        <v>1248</v>
      </c>
      <c r="B496" s="25" t="s">
        <v>515</v>
      </c>
      <c r="C496" s="43" t="s">
        <v>574</v>
      </c>
      <c r="D496" s="44" t="s">
        <v>772</v>
      </c>
      <c r="E496" s="27" t="s">
        <v>525</v>
      </c>
      <c r="F496" s="28" t="s">
        <v>54</v>
      </c>
      <c r="G496" s="45">
        <v>182</v>
      </c>
      <c r="H496" s="46">
        <v>23000</v>
      </c>
      <c r="I496" s="47">
        <f>G496*H496</f>
        <v>4186000</v>
      </c>
      <c r="J496" s="48" t="str">
        <f>IF(ABS(G496*H496-4186000)&lt;1,"✓ OK","⚠ ÉCART")</f>
        <v>✓ OK</v>
      </c>
    </row>
    <row r="497" spans="1:10" ht="15.75" customHeight="1" x14ac:dyDescent="0.25">
      <c r="A497" s="35" t="s">
        <v>1249</v>
      </c>
      <c r="B497" s="17" t="s">
        <v>515</v>
      </c>
      <c r="C497" s="36" t="s">
        <v>574</v>
      </c>
      <c r="D497" s="37" t="s">
        <v>772</v>
      </c>
      <c r="E497" s="19" t="s">
        <v>529</v>
      </c>
      <c r="F497" s="20" t="s">
        <v>112</v>
      </c>
      <c r="G497" s="38">
        <v>172.84</v>
      </c>
      <c r="H497" s="39">
        <v>5750</v>
      </c>
      <c r="I497" s="40">
        <f>G497*H497</f>
        <v>993830</v>
      </c>
      <c r="J497" s="41" t="str">
        <f>IF(ABS(G497*H497-993830)&lt;1,"✓ OK","⚠ ÉCART")</f>
        <v>✓ OK</v>
      </c>
    </row>
    <row r="498" spans="1:10" ht="19.5" customHeight="1" x14ac:dyDescent="0.25">
      <c r="A498" s="7" t="s">
        <v>1250</v>
      </c>
      <c r="B498" s="7"/>
      <c r="C498" s="7"/>
      <c r="D498" s="7"/>
      <c r="E498" s="7"/>
      <c r="F498" s="7"/>
      <c r="G498" s="7"/>
      <c r="H498" s="7"/>
      <c r="I498" s="7"/>
      <c r="J498" s="7"/>
    </row>
    <row r="499" spans="1:10" ht="15.75" customHeight="1" x14ac:dyDescent="0.25">
      <c r="A499" s="35" t="s">
        <v>1251</v>
      </c>
      <c r="B499" s="17" t="s">
        <v>532</v>
      </c>
      <c r="C499" s="36" t="s">
        <v>574</v>
      </c>
      <c r="D499" s="37" t="s">
        <v>562</v>
      </c>
      <c r="E499" s="19" t="s">
        <v>1252</v>
      </c>
      <c r="F499" s="20" t="s">
        <v>16</v>
      </c>
      <c r="G499" s="38">
        <v>1</v>
      </c>
      <c r="H499" s="39">
        <v>25300000</v>
      </c>
      <c r="I499" s="40">
        <f>G499*H499</f>
        <v>25300000</v>
      </c>
      <c r="J499" s="41" t="str">
        <f>IF(ABS(G499*H499-25300000)&lt;1,"✓ OK","⚠ ÉCART")</f>
        <v>✓ OK</v>
      </c>
    </row>
    <row r="500" spans="1:10" ht="19.5" customHeight="1" x14ac:dyDescent="0.25">
      <c r="A500" s="7" t="s">
        <v>1253</v>
      </c>
      <c r="B500" s="7"/>
      <c r="C500" s="7"/>
      <c r="D500" s="7"/>
      <c r="E500" s="7"/>
      <c r="F500" s="7"/>
      <c r="G500" s="7"/>
      <c r="H500" s="7"/>
      <c r="I500" s="7"/>
      <c r="J500" s="7"/>
    </row>
    <row r="501" spans="1:10" ht="15.75" customHeight="1" x14ac:dyDescent="0.25">
      <c r="A501" s="6" t="s">
        <v>1254</v>
      </c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5">
      <c r="A502" s="42" t="s">
        <v>1255</v>
      </c>
      <c r="B502" s="25" t="s">
        <v>537</v>
      </c>
      <c r="C502" s="43" t="s">
        <v>574</v>
      </c>
      <c r="D502" s="44" t="s">
        <v>1256</v>
      </c>
      <c r="E502" s="27" t="s">
        <v>1257</v>
      </c>
      <c r="F502" s="28" t="s">
        <v>54</v>
      </c>
      <c r="G502" s="45">
        <v>1901</v>
      </c>
      <c r="H502" s="46">
        <v>74750</v>
      </c>
      <c r="I502" s="47">
        <f>G502*H502</f>
        <v>142099750</v>
      </c>
      <c r="J502" s="48" t="str">
        <f>IF(ABS(G502*H502-142099750)&lt;1,"✓ OK","⚠ ÉCART")</f>
        <v>✓ OK</v>
      </c>
    </row>
    <row r="503" spans="1:10" ht="15.75" customHeight="1" x14ac:dyDescent="0.25">
      <c r="A503" s="6" t="s">
        <v>1258</v>
      </c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5">
      <c r="A504" s="42" t="s">
        <v>1259</v>
      </c>
      <c r="B504" s="25" t="s">
        <v>537</v>
      </c>
      <c r="C504" s="43" t="s">
        <v>578</v>
      </c>
      <c r="D504" s="44" t="s">
        <v>1256</v>
      </c>
      <c r="E504" s="27" t="s">
        <v>1260</v>
      </c>
      <c r="F504" s="28" t="s">
        <v>54</v>
      </c>
      <c r="G504" s="45">
        <v>233.97499999999999</v>
      </c>
      <c r="H504" s="46">
        <v>74750</v>
      </c>
      <c r="I504" s="47">
        <f>G504*H504</f>
        <v>17489631.25</v>
      </c>
      <c r="J504" s="48" t="str">
        <f>IF(ABS(G504*H504-17489631)&lt;1,"✓ OK","⚠ ÉCART")</f>
        <v>✓ OK</v>
      </c>
    </row>
    <row r="505" spans="1:10" ht="24" customHeight="1" x14ac:dyDescent="0.25">
      <c r="A505" s="5" t="s">
        <v>1261</v>
      </c>
      <c r="B505" s="5"/>
      <c r="C505" s="5"/>
      <c r="D505" s="5"/>
      <c r="E505" s="5"/>
      <c r="F505" s="5"/>
      <c r="G505" s="5"/>
      <c r="H505" s="5"/>
      <c r="I505" s="51">
        <v>1129667152</v>
      </c>
      <c r="J505" s="52" t="s">
        <v>1262</v>
      </c>
    </row>
  </sheetData>
  <mergeCells count="58">
    <mergeCell ref="A501:J501"/>
    <mergeCell ref="A503:J503"/>
    <mergeCell ref="A505:H505"/>
    <mergeCell ref="A490:J490"/>
    <mergeCell ref="A492:J492"/>
    <mergeCell ref="A495:J495"/>
    <mergeCell ref="A498:J498"/>
    <mergeCell ref="A500:J500"/>
    <mergeCell ref="A462:J462"/>
    <mergeCell ref="A479:J479"/>
    <mergeCell ref="A485:J485"/>
    <mergeCell ref="A487:J487"/>
    <mergeCell ref="A488:J488"/>
    <mergeCell ref="A444:J444"/>
    <mergeCell ref="A445:J445"/>
    <mergeCell ref="A447:J447"/>
    <mergeCell ref="A451:J451"/>
    <mergeCell ref="A461:J461"/>
    <mergeCell ref="A394:J394"/>
    <mergeCell ref="A406:J406"/>
    <mergeCell ref="A432:J432"/>
    <mergeCell ref="A437:J437"/>
    <mergeCell ref="A439:J439"/>
    <mergeCell ref="A368:J368"/>
    <mergeCell ref="A373:J373"/>
    <mergeCell ref="A378:J378"/>
    <mergeCell ref="A379:J379"/>
    <mergeCell ref="A391:J391"/>
    <mergeCell ref="A345:J345"/>
    <mergeCell ref="A348:J348"/>
    <mergeCell ref="A353:J353"/>
    <mergeCell ref="A354:J354"/>
    <mergeCell ref="A361:J361"/>
    <mergeCell ref="A308:J308"/>
    <mergeCell ref="A318:J318"/>
    <mergeCell ref="A328:J328"/>
    <mergeCell ref="A335:J335"/>
    <mergeCell ref="A344:J344"/>
    <mergeCell ref="A251:J251"/>
    <mergeCell ref="A272:J272"/>
    <mergeCell ref="A273:J273"/>
    <mergeCell ref="A286:J286"/>
    <mergeCell ref="A297:J297"/>
    <mergeCell ref="A125:J125"/>
    <mergeCell ref="A149:J149"/>
    <mergeCell ref="A166:J166"/>
    <mergeCell ref="A189:J189"/>
    <mergeCell ref="A213:J213"/>
    <mergeCell ref="A20:J20"/>
    <mergeCell ref="A35:J35"/>
    <mergeCell ref="A39:J39"/>
    <mergeCell ref="A73:J73"/>
    <mergeCell ref="A107:J107"/>
    <mergeCell ref="A1:J1"/>
    <mergeCell ref="A2:J2"/>
    <mergeCell ref="A5:J5"/>
    <mergeCell ref="A6:J6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zoomScaleNormal="100" workbookViewId="0"/>
  </sheetViews>
  <sheetFormatPr baseColWidth="10" defaultColWidth="8.7109375" defaultRowHeight="15" x14ac:dyDescent="0.25"/>
  <cols>
    <col min="1" max="1" width="5" customWidth="1"/>
    <col min="2" max="2" width="45" customWidth="1"/>
    <col min="3" max="3" width="22" customWidth="1"/>
    <col min="4" max="4" width="12" customWidth="1"/>
    <col min="5" max="5" width="22" customWidth="1"/>
    <col min="6" max="6" width="16" customWidth="1"/>
  </cols>
  <sheetData>
    <row r="1" spans="1:6" ht="30" customHeight="1" x14ac:dyDescent="0.25">
      <c r="A1" s="4" t="s">
        <v>1263</v>
      </c>
      <c r="B1" s="4"/>
      <c r="C1" s="4"/>
      <c r="D1" s="4"/>
      <c r="E1" s="4"/>
      <c r="F1" s="4"/>
    </row>
    <row r="2" spans="1:6" ht="15.75" customHeight="1" x14ac:dyDescent="0.25">
      <c r="A2" s="3" t="s">
        <v>1264</v>
      </c>
      <c r="B2" s="3"/>
      <c r="C2" s="3"/>
      <c r="D2" s="3"/>
      <c r="E2" s="3"/>
      <c r="F2" s="3"/>
    </row>
    <row r="3" spans="1:6" ht="24.75" customHeight="1" x14ac:dyDescent="0.25">
      <c r="A3" s="53" t="s">
        <v>2</v>
      </c>
      <c r="B3" s="53" t="s">
        <v>1265</v>
      </c>
      <c r="C3" s="53" t="s">
        <v>1266</v>
      </c>
      <c r="D3" s="53" t="s">
        <v>1267</v>
      </c>
      <c r="E3" s="53" t="s">
        <v>1268</v>
      </c>
      <c r="F3" s="53" t="s">
        <v>1269</v>
      </c>
    </row>
    <row r="4" spans="1:6" ht="15" customHeight="1" x14ac:dyDescent="0.25">
      <c r="A4" s="54" t="s">
        <v>13</v>
      </c>
      <c r="B4" s="19" t="s">
        <v>1270</v>
      </c>
      <c r="C4" s="55">
        <v>218723945</v>
      </c>
      <c r="D4" s="56">
        <f>C4/C18</f>
        <v>0.19361804458310036</v>
      </c>
      <c r="E4" s="57">
        <f>SUM(C4:C4)</f>
        <v>218723945</v>
      </c>
      <c r="F4" s="35" t="s">
        <v>1271</v>
      </c>
    </row>
    <row r="5" spans="1:6" ht="15" customHeight="1" x14ac:dyDescent="0.25">
      <c r="A5" s="58" t="s">
        <v>94</v>
      </c>
      <c r="B5" s="27" t="s">
        <v>1272</v>
      </c>
      <c r="C5" s="59">
        <v>38856005</v>
      </c>
      <c r="D5" s="60">
        <f>C5/C18</f>
        <v>3.4395976665523159E-2</v>
      </c>
      <c r="E5" s="61">
        <f>SUM(C4:C5)</f>
        <v>257579950</v>
      </c>
      <c r="F5" s="42" t="s">
        <v>1271</v>
      </c>
    </row>
    <row r="6" spans="1:6" ht="15" customHeight="1" x14ac:dyDescent="0.25">
      <c r="A6" s="54" t="s">
        <v>115</v>
      </c>
      <c r="B6" s="19" t="s">
        <v>1273</v>
      </c>
      <c r="C6" s="55">
        <v>152397863</v>
      </c>
      <c r="D6" s="56">
        <f>C6/C18</f>
        <v>0.13490510256068772</v>
      </c>
      <c r="E6" s="57">
        <f>SUM(C4:C6)</f>
        <v>409977813</v>
      </c>
      <c r="F6" s="35" t="s">
        <v>1271</v>
      </c>
    </row>
    <row r="7" spans="1:6" ht="15" customHeight="1" x14ac:dyDescent="0.25">
      <c r="A7" s="58" t="s">
        <v>130</v>
      </c>
      <c r="B7" s="27" t="s">
        <v>1274</v>
      </c>
      <c r="C7" s="59">
        <v>109091760</v>
      </c>
      <c r="D7" s="60">
        <f>C7/C18</f>
        <v>9.6569825728631972E-2</v>
      </c>
      <c r="E7" s="61">
        <f>SUM(C4:C7)</f>
        <v>519069573</v>
      </c>
      <c r="F7" s="42" t="s">
        <v>1271</v>
      </c>
    </row>
    <row r="8" spans="1:6" ht="15" customHeight="1" x14ac:dyDescent="0.25">
      <c r="A8" s="54" t="s">
        <v>139</v>
      </c>
      <c r="B8" s="19" t="s">
        <v>1275</v>
      </c>
      <c r="C8" s="55">
        <v>11614655</v>
      </c>
      <c r="D8" s="56">
        <f>C8/C18</f>
        <v>1.0281484222531417E-2</v>
      </c>
      <c r="E8" s="57">
        <f>SUM(C4:C8)</f>
        <v>530684228</v>
      </c>
      <c r="F8" s="35" t="s">
        <v>1271</v>
      </c>
    </row>
    <row r="9" spans="1:6" ht="15" customHeight="1" x14ac:dyDescent="0.25">
      <c r="A9" s="58" t="s">
        <v>162</v>
      </c>
      <c r="B9" s="27" t="s">
        <v>1276</v>
      </c>
      <c r="C9" s="59">
        <v>24456360</v>
      </c>
      <c r="D9" s="60">
        <f>C9/C18</f>
        <v>2.16491733487175E-2</v>
      </c>
      <c r="E9" s="61">
        <f>SUM(C4:C9)</f>
        <v>555140588</v>
      </c>
      <c r="F9" s="42" t="s">
        <v>1271</v>
      </c>
    </row>
    <row r="10" spans="1:6" ht="15" customHeight="1" x14ac:dyDescent="0.25">
      <c r="A10" s="54" t="s">
        <v>184</v>
      </c>
      <c r="B10" s="19" t="s">
        <v>1277</v>
      </c>
      <c r="C10" s="55">
        <v>175755050</v>
      </c>
      <c r="D10" s="56">
        <f>C10/C18</f>
        <v>0.15558126983584275</v>
      </c>
      <c r="E10" s="57">
        <f>SUM(C4:C10)</f>
        <v>730895638</v>
      </c>
      <c r="F10" s="35" t="s">
        <v>1271</v>
      </c>
    </row>
    <row r="11" spans="1:6" ht="15" customHeight="1" x14ac:dyDescent="0.25">
      <c r="A11" s="58" t="s">
        <v>337</v>
      </c>
      <c r="B11" s="27" t="s">
        <v>1278</v>
      </c>
      <c r="C11" s="59">
        <v>68459500</v>
      </c>
      <c r="D11" s="60">
        <f>C11/C18</f>
        <v>6.0601478832766842E-2</v>
      </c>
      <c r="E11" s="61">
        <f>SUM(C4:C11)</f>
        <v>799355138</v>
      </c>
      <c r="F11" s="42" t="s">
        <v>1271</v>
      </c>
    </row>
    <row r="12" spans="1:6" ht="15" customHeight="1" x14ac:dyDescent="0.25">
      <c r="A12" s="54" t="s">
        <v>366</v>
      </c>
      <c r="B12" s="19" t="s">
        <v>1279</v>
      </c>
      <c r="C12" s="55">
        <v>18079150</v>
      </c>
      <c r="D12" s="56">
        <f>C12/C18</f>
        <v>1.6003961846630731E-2</v>
      </c>
      <c r="E12" s="57">
        <f>SUM(C4:C12)</f>
        <v>817434288</v>
      </c>
      <c r="F12" s="35" t="s">
        <v>1271</v>
      </c>
    </row>
    <row r="13" spans="1:6" ht="21.75" customHeight="1" x14ac:dyDescent="0.25">
      <c r="A13" s="58" t="s">
        <v>411</v>
      </c>
      <c r="B13" s="27" t="s">
        <v>1280</v>
      </c>
      <c r="C13" s="59">
        <v>47233525</v>
      </c>
      <c r="D13" s="60">
        <f>C13/C18</f>
        <v>4.1811895580371801E-2</v>
      </c>
      <c r="E13" s="61">
        <f>SUM(C4:C13)</f>
        <v>864667813</v>
      </c>
      <c r="F13" s="42" t="s">
        <v>1271</v>
      </c>
    </row>
    <row r="14" spans="1:6" ht="21.75" customHeight="1" x14ac:dyDescent="0.25">
      <c r="A14" s="54" t="s">
        <v>515</v>
      </c>
      <c r="B14" s="19" t="s">
        <v>1281</v>
      </c>
      <c r="C14" s="55">
        <v>27520144</v>
      </c>
      <c r="D14" s="56">
        <f>C14/C18</f>
        <v>2.4361285491286022E-2</v>
      </c>
      <c r="E14" s="57">
        <f>SUM(C4:C14)</f>
        <v>892187957</v>
      </c>
      <c r="F14" s="35" t="s">
        <v>1271</v>
      </c>
    </row>
    <row r="15" spans="1:6" ht="21.75" customHeight="1" x14ac:dyDescent="0.25">
      <c r="A15" s="58" t="s">
        <v>532</v>
      </c>
      <c r="B15" s="27" t="s">
        <v>1282</v>
      </c>
      <c r="C15" s="59">
        <v>25300000</v>
      </c>
      <c r="D15" s="60">
        <f>C15/C18</f>
        <v>2.2395977394941549E-2</v>
      </c>
      <c r="E15" s="61">
        <f>SUM(C4:C15)</f>
        <v>917487957</v>
      </c>
      <c r="F15" s="42" t="s">
        <v>1271</v>
      </c>
    </row>
    <row r="16" spans="1:6" ht="21.75" customHeight="1" x14ac:dyDescent="0.25">
      <c r="A16" s="54" t="s">
        <v>537</v>
      </c>
      <c r="B16" s="19" t="s">
        <v>1283</v>
      </c>
      <c r="C16" s="55">
        <v>159589381</v>
      </c>
      <c r="D16" s="56">
        <f>C16/C18</f>
        <v>0.14127115293868436</v>
      </c>
      <c r="E16" s="57">
        <f>SUM(C4:C16)</f>
        <v>1077077338</v>
      </c>
      <c r="F16" s="35" t="s">
        <v>1271</v>
      </c>
    </row>
    <row r="17" spans="1:6" ht="21.75" customHeight="1" x14ac:dyDescent="0.25">
      <c r="A17" s="58" t="s">
        <v>542</v>
      </c>
      <c r="B17" s="27" t="s">
        <v>1284</v>
      </c>
      <c r="C17" s="59">
        <v>52589814</v>
      </c>
      <c r="D17" s="60">
        <f>C17/C18</f>
        <v>4.6553370970283822E-2</v>
      </c>
      <c r="E17" s="61">
        <f>SUM(C4:C17)</f>
        <v>1129667152</v>
      </c>
      <c r="F17" s="42" t="s">
        <v>1271</v>
      </c>
    </row>
    <row r="18" spans="1:6" ht="24" customHeight="1" x14ac:dyDescent="0.25">
      <c r="A18" s="2" t="s">
        <v>1285</v>
      </c>
      <c r="B18" s="2"/>
      <c r="C18" s="63">
        <f>SUM(C4:C17)</f>
        <v>1129667152</v>
      </c>
      <c r="D18" s="62" t="s">
        <v>1286</v>
      </c>
      <c r="E18" s="64"/>
      <c r="F18" s="65" t="s">
        <v>1287</v>
      </c>
    </row>
    <row r="20" spans="1:6" ht="27.75" customHeight="1" x14ac:dyDescent="0.25">
      <c r="A20" s="1" t="s">
        <v>1288</v>
      </c>
      <c r="B20" s="1"/>
      <c r="C20" s="1"/>
      <c r="D20" s="1"/>
      <c r="E20" s="1"/>
      <c r="F20" s="1"/>
    </row>
  </sheetData>
  <mergeCells count="4">
    <mergeCell ref="A1:F1"/>
    <mergeCell ref="A2:F2"/>
    <mergeCell ref="A18:B18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zoomScaleNormal="100" workbookViewId="0"/>
  </sheetViews>
  <sheetFormatPr baseColWidth="10" defaultColWidth="8.7109375" defaultRowHeight="15" x14ac:dyDescent="0.25"/>
  <cols>
    <col min="1" max="1" width="20" customWidth="1"/>
    <col min="2" max="2" width="40" customWidth="1"/>
    <col min="3" max="3" width="22" customWidth="1"/>
    <col min="4" max="4" width="12" customWidth="1"/>
    <col min="5" max="5" width="35" customWidth="1"/>
  </cols>
  <sheetData>
    <row r="1" spans="1:8" ht="30" customHeight="1" x14ac:dyDescent="0.25">
      <c r="A1" s="4" t="s">
        <v>1289</v>
      </c>
      <c r="B1" s="4"/>
      <c r="C1" s="4"/>
      <c r="D1" s="4"/>
      <c r="E1" s="4"/>
      <c r="F1" s="4"/>
      <c r="G1" s="4"/>
      <c r="H1" s="4"/>
    </row>
    <row r="2" spans="1:8" ht="15.75" customHeight="1" x14ac:dyDescent="0.25">
      <c r="A2" s="3" t="s">
        <v>1290</v>
      </c>
      <c r="B2" s="3"/>
      <c r="C2" s="3"/>
      <c r="D2" s="3"/>
      <c r="E2" s="3"/>
      <c r="F2" s="3"/>
      <c r="G2" s="3"/>
      <c r="H2" s="3"/>
    </row>
    <row r="3" spans="1:8" ht="6" customHeight="1" x14ac:dyDescent="0.25"/>
    <row r="4" spans="1:8" ht="19.5" customHeight="1" x14ac:dyDescent="0.25">
      <c r="A4" s="88" t="s">
        <v>1291</v>
      </c>
      <c r="B4" s="88"/>
      <c r="C4" s="88"/>
      <c r="D4" s="88"/>
      <c r="E4" s="88"/>
      <c r="F4" s="88"/>
      <c r="G4" s="88"/>
      <c r="H4" s="88"/>
    </row>
    <row r="5" spans="1:8" ht="24.75" customHeight="1" x14ac:dyDescent="0.25">
      <c r="A5" s="15" t="s">
        <v>551</v>
      </c>
      <c r="B5" s="15" t="s">
        <v>1292</v>
      </c>
      <c r="C5" s="15" t="s">
        <v>1266</v>
      </c>
      <c r="D5" s="15" t="s">
        <v>1267</v>
      </c>
      <c r="E5" s="15" t="s">
        <v>1293</v>
      </c>
    </row>
    <row r="6" spans="1:8" ht="18" customHeight="1" x14ac:dyDescent="0.25">
      <c r="A6" s="66" t="s">
        <v>1294</v>
      </c>
      <c r="B6" s="36" t="s">
        <v>1295</v>
      </c>
      <c r="C6" s="55">
        <v>851007152</v>
      </c>
      <c r="D6" s="67" t="s">
        <v>1296</v>
      </c>
      <c r="E6" s="22" t="s">
        <v>1297</v>
      </c>
    </row>
    <row r="7" spans="1:8" ht="18" customHeight="1" x14ac:dyDescent="0.25">
      <c r="A7" s="68" t="s">
        <v>1298</v>
      </c>
      <c r="B7" s="43" t="s">
        <v>1299</v>
      </c>
      <c r="C7" s="59">
        <v>140224062</v>
      </c>
      <c r="D7" s="69" t="s">
        <v>1300</v>
      </c>
      <c r="E7" s="30" t="s">
        <v>1301</v>
      </c>
    </row>
    <row r="8" spans="1:8" ht="18" customHeight="1" x14ac:dyDescent="0.25">
      <c r="A8" s="66" t="s">
        <v>1302</v>
      </c>
      <c r="B8" s="36" t="s">
        <v>1303</v>
      </c>
      <c r="C8" s="55">
        <v>26239918</v>
      </c>
      <c r="D8" s="67" t="s">
        <v>1304</v>
      </c>
      <c r="E8" s="22" t="s">
        <v>1305</v>
      </c>
    </row>
    <row r="9" spans="1:8" ht="18" customHeight="1" x14ac:dyDescent="0.25">
      <c r="A9" s="68" t="s">
        <v>1306</v>
      </c>
      <c r="B9" s="43" t="s">
        <v>1307</v>
      </c>
      <c r="C9" s="59">
        <v>112196020</v>
      </c>
      <c r="D9" s="69" t="s">
        <v>1308</v>
      </c>
      <c r="E9" s="30" t="s">
        <v>1309</v>
      </c>
    </row>
    <row r="10" spans="1:8" ht="21.75" customHeight="1" x14ac:dyDescent="0.25">
      <c r="A10" s="2" t="s">
        <v>1310</v>
      </c>
      <c r="B10" s="2"/>
      <c r="C10" s="70">
        <v>1129667152</v>
      </c>
      <c r="D10" s="71" t="s">
        <v>1286</v>
      </c>
      <c r="E10" s="64"/>
    </row>
    <row r="12" spans="1:8" ht="7.5" customHeight="1" x14ac:dyDescent="0.25"/>
    <row r="13" spans="1:8" ht="19.5" customHeight="1" x14ac:dyDescent="0.25">
      <c r="A13" s="88" t="s">
        <v>1311</v>
      </c>
      <c r="B13" s="88"/>
      <c r="C13" s="88"/>
      <c r="D13" s="88"/>
      <c r="E13" s="88"/>
      <c r="F13" s="88"/>
      <c r="G13" s="88"/>
      <c r="H13" s="88"/>
    </row>
    <row r="14" spans="1:8" ht="24.75" customHeight="1" x14ac:dyDescent="0.25">
      <c r="A14" s="15" t="s">
        <v>1312</v>
      </c>
      <c r="B14" s="15" t="s">
        <v>551</v>
      </c>
      <c r="C14" s="15" t="s">
        <v>552</v>
      </c>
      <c r="D14" s="15" t="s">
        <v>553</v>
      </c>
      <c r="E14" s="15" t="s">
        <v>1313</v>
      </c>
      <c r="F14" s="15" t="s">
        <v>1314</v>
      </c>
    </row>
    <row r="15" spans="1:8" ht="18" customHeight="1" x14ac:dyDescent="0.25">
      <c r="A15" s="72" t="s">
        <v>1315</v>
      </c>
      <c r="B15" s="43" t="s">
        <v>561</v>
      </c>
      <c r="C15" s="44" t="s">
        <v>562</v>
      </c>
      <c r="D15" s="27" t="s">
        <v>1316</v>
      </c>
      <c r="E15" s="59">
        <v>26239918</v>
      </c>
      <c r="F15" s="73" t="s">
        <v>1317</v>
      </c>
    </row>
    <row r="16" spans="1:8" ht="18" customHeight="1" x14ac:dyDescent="0.25">
      <c r="A16" s="74" t="s">
        <v>1318</v>
      </c>
      <c r="B16" s="36" t="s">
        <v>1319</v>
      </c>
      <c r="C16" s="37" t="s">
        <v>575</v>
      </c>
      <c r="D16" s="19" t="s">
        <v>1320</v>
      </c>
      <c r="E16" s="55">
        <v>6589500</v>
      </c>
      <c r="F16" s="75" t="s">
        <v>1321</v>
      </c>
    </row>
    <row r="17" spans="1:8" ht="18" customHeight="1" x14ac:dyDescent="0.25">
      <c r="A17" s="72" t="s">
        <v>1322</v>
      </c>
      <c r="B17" s="43" t="s">
        <v>574</v>
      </c>
      <c r="C17" s="44" t="s">
        <v>591</v>
      </c>
      <c r="D17" s="27" t="s">
        <v>1323</v>
      </c>
      <c r="E17" s="59">
        <v>15714717</v>
      </c>
      <c r="F17" s="73" t="s">
        <v>1324</v>
      </c>
    </row>
    <row r="18" spans="1:8" ht="18" customHeight="1" x14ac:dyDescent="0.25">
      <c r="A18" s="74" t="s">
        <v>1322</v>
      </c>
      <c r="B18" s="36" t="s">
        <v>578</v>
      </c>
      <c r="C18" s="37" t="s">
        <v>591</v>
      </c>
      <c r="D18" s="19" t="s">
        <v>1325</v>
      </c>
      <c r="E18" s="55">
        <v>8302943</v>
      </c>
      <c r="F18" s="75" t="s">
        <v>1326</v>
      </c>
    </row>
    <row r="19" spans="1:8" ht="18" customHeight="1" x14ac:dyDescent="0.25">
      <c r="A19" s="72" t="s">
        <v>1327</v>
      </c>
      <c r="B19" s="43" t="s">
        <v>574</v>
      </c>
      <c r="C19" s="44" t="s">
        <v>575</v>
      </c>
      <c r="D19" s="27" t="s">
        <v>1328</v>
      </c>
      <c r="E19" s="59">
        <v>36601284</v>
      </c>
      <c r="F19" s="73" t="s">
        <v>1329</v>
      </c>
    </row>
    <row r="20" spans="1:8" ht="18" customHeight="1" x14ac:dyDescent="0.25">
      <c r="A20" s="74" t="s">
        <v>1330</v>
      </c>
      <c r="B20" s="36" t="s">
        <v>1331</v>
      </c>
      <c r="C20" s="37" t="s">
        <v>579</v>
      </c>
      <c r="D20" s="19" t="s">
        <v>1332</v>
      </c>
      <c r="E20" s="55">
        <v>35645971</v>
      </c>
      <c r="F20" s="75" t="s">
        <v>1333</v>
      </c>
    </row>
    <row r="21" spans="1:8" ht="18" customHeight="1" x14ac:dyDescent="0.25">
      <c r="A21" s="72" t="s">
        <v>1334</v>
      </c>
      <c r="B21" s="43" t="s">
        <v>574</v>
      </c>
      <c r="C21" s="44" t="s">
        <v>582</v>
      </c>
      <c r="D21" s="27" t="s">
        <v>1335</v>
      </c>
      <c r="E21" s="59">
        <v>15080636</v>
      </c>
      <c r="F21" s="73" t="s">
        <v>1336</v>
      </c>
    </row>
    <row r="22" spans="1:8" ht="18" customHeight="1" x14ac:dyDescent="0.25">
      <c r="A22" s="74" t="s">
        <v>1337</v>
      </c>
      <c r="B22" s="36" t="s">
        <v>574</v>
      </c>
      <c r="C22" s="37" t="s">
        <v>744</v>
      </c>
      <c r="D22" s="19" t="s">
        <v>1338</v>
      </c>
      <c r="E22" s="55">
        <v>48980896</v>
      </c>
      <c r="F22" s="75" t="s">
        <v>1339</v>
      </c>
    </row>
    <row r="23" spans="1:8" ht="18" customHeight="1" x14ac:dyDescent="0.25">
      <c r="A23" s="72" t="s">
        <v>1340</v>
      </c>
      <c r="B23" s="43" t="s">
        <v>574</v>
      </c>
      <c r="C23" s="44" t="s">
        <v>772</v>
      </c>
      <c r="D23" s="27" t="s">
        <v>1341</v>
      </c>
      <c r="E23" s="59">
        <v>25568080</v>
      </c>
      <c r="F23" s="73" t="s">
        <v>1342</v>
      </c>
    </row>
    <row r="24" spans="1:8" ht="21.75" customHeight="1" x14ac:dyDescent="0.25">
      <c r="A24" s="89" t="s">
        <v>1343</v>
      </c>
      <c r="B24" s="89"/>
      <c r="C24" s="89"/>
      <c r="D24" s="89"/>
      <c r="E24" s="76">
        <v>218723945</v>
      </c>
      <c r="F24" s="77" t="s">
        <v>1344</v>
      </c>
    </row>
    <row r="26" spans="1:8" ht="7.5" customHeight="1" x14ac:dyDescent="0.25"/>
    <row r="27" spans="1:8" ht="19.5" customHeight="1" x14ac:dyDescent="0.25">
      <c r="A27" s="88" t="s">
        <v>1345</v>
      </c>
      <c r="B27" s="88"/>
      <c r="C27" s="88"/>
      <c r="D27" s="88"/>
      <c r="E27" s="88"/>
      <c r="F27" s="88"/>
      <c r="G27" s="88"/>
      <c r="H27" s="88"/>
    </row>
    <row r="28" spans="1:8" ht="24.75" customHeight="1" x14ac:dyDescent="0.25">
      <c r="A28" s="15" t="s">
        <v>551</v>
      </c>
      <c r="B28" s="15" t="s">
        <v>552</v>
      </c>
      <c r="C28" s="15" t="s">
        <v>553</v>
      </c>
      <c r="D28" s="15" t="s">
        <v>1313</v>
      </c>
      <c r="E28" s="15" t="s">
        <v>1346</v>
      </c>
    </row>
    <row r="29" spans="1:8" ht="18" customHeight="1" x14ac:dyDescent="0.25">
      <c r="A29" s="43" t="s">
        <v>574</v>
      </c>
      <c r="B29" s="44" t="s">
        <v>579</v>
      </c>
      <c r="C29" s="27" t="s">
        <v>1347</v>
      </c>
      <c r="D29" s="59">
        <v>3439509</v>
      </c>
      <c r="E29" s="73" t="s">
        <v>1348</v>
      </c>
    </row>
    <row r="30" spans="1:8" ht="18" customHeight="1" x14ac:dyDescent="0.25">
      <c r="A30" s="36" t="s">
        <v>574</v>
      </c>
      <c r="B30" s="37" t="s">
        <v>582</v>
      </c>
      <c r="C30" s="19" t="s">
        <v>1347</v>
      </c>
      <c r="D30" s="55">
        <v>3097200</v>
      </c>
      <c r="E30" s="75" t="s">
        <v>1349</v>
      </c>
    </row>
    <row r="31" spans="1:8" ht="18" customHeight="1" x14ac:dyDescent="0.25">
      <c r="A31" s="43" t="s">
        <v>574</v>
      </c>
      <c r="B31" s="44" t="s">
        <v>744</v>
      </c>
      <c r="C31" s="27" t="s">
        <v>1350</v>
      </c>
      <c r="D31" s="59">
        <v>18350424</v>
      </c>
      <c r="E31" s="73" t="s">
        <v>1351</v>
      </c>
    </row>
    <row r="32" spans="1:8" ht="18" customHeight="1" x14ac:dyDescent="0.25">
      <c r="A32" s="36" t="s">
        <v>574</v>
      </c>
      <c r="B32" s="37" t="s">
        <v>772</v>
      </c>
      <c r="C32" s="19" t="s">
        <v>1347</v>
      </c>
      <c r="D32" s="55">
        <v>1736508</v>
      </c>
      <c r="E32" s="75" t="s">
        <v>1352</v>
      </c>
    </row>
    <row r="33" spans="1:8" ht="18" customHeight="1" x14ac:dyDescent="0.25">
      <c r="A33" s="43" t="s">
        <v>574</v>
      </c>
      <c r="B33" s="44" t="s">
        <v>812</v>
      </c>
      <c r="C33" s="27" t="s">
        <v>1353</v>
      </c>
      <c r="D33" s="59">
        <v>2515296</v>
      </c>
      <c r="E33" s="73" t="s">
        <v>1354</v>
      </c>
    </row>
    <row r="34" spans="1:8" ht="18" customHeight="1" x14ac:dyDescent="0.25">
      <c r="A34" s="36" t="s">
        <v>578</v>
      </c>
      <c r="B34" s="37" t="s">
        <v>579</v>
      </c>
      <c r="C34" s="19" t="s">
        <v>1355</v>
      </c>
      <c r="D34" s="55">
        <v>1734744</v>
      </c>
      <c r="E34" s="75" t="s">
        <v>1352</v>
      </c>
    </row>
    <row r="35" spans="1:8" ht="18" customHeight="1" x14ac:dyDescent="0.25">
      <c r="A35" s="43" t="s">
        <v>578</v>
      </c>
      <c r="B35" s="44" t="s">
        <v>812</v>
      </c>
      <c r="C35" s="27" t="s">
        <v>1356</v>
      </c>
      <c r="D35" s="59">
        <v>7588324</v>
      </c>
      <c r="E35" s="73" t="s">
        <v>1357</v>
      </c>
    </row>
    <row r="36" spans="1:8" ht="21.75" customHeight="1" x14ac:dyDescent="0.25">
      <c r="A36" s="89" t="s">
        <v>1358</v>
      </c>
      <c r="B36" s="89"/>
      <c r="C36" s="89"/>
      <c r="D36" s="76">
        <v>38461005</v>
      </c>
      <c r="E36" s="78" t="s">
        <v>1271</v>
      </c>
    </row>
    <row r="38" spans="1:8" ht="7.5" customHeight="1" x14ac:dyDescent="0.25"/>
    <row r="39" spans="1:8" ht="19.5" customHeight="1" x14ac:dyDescent="0.25">
      <c r="A39" s="90" t="s">
        <v>1359</v>
      </c>
      <c r="B39" s="90"/>
      <c r="C39" s="90"/>
      <c r="D39" s="90"/>
      <c r="E39" s="90"/>
      <c r="F39" s="90"/>
      <c r="G39" s="90"/>
      <c r="H39" s="90"/>
    </row>
    <row r="40" spans="1:8" ht="24.75" customHeight="1" x14ac:dyDescent="0.25">
      <c r="A40" s="79" t="s">
        <v>1360</v>
      </c>
      <c r="B40" s="79" t="s">
        <v>3</v>
      </c>
      <c r="C40" s="79" t="s">
        <v>1361</v>
      </c>
      <c r="D40" s="79" t="s">
        <v>1362</v>
      </c>
      <c r="E40" s="79" t="s">
        <v>1363</v>
      </c>
      <c r="F40" s="79" t="s">
        <v>1364</v>
      </c>
    </row>
    <row r="41" spans="1:8" ht="30" customHeight="1" x14ac:dyDescent="0.25">
      <c r="A41" s="80" t="s">
        <v>1365</v>
      </c>
      <c r="B41" s="80" t="s">
        <v>115</v>
      </c>
      <c r="C41" s="43" t="s">
        <v>1366</v>
      </c>
      <c r="D41" s="43" t="s">
        <v>1367</v>
      </c>
      <c r="E41" s="81">
        <v>18964075</v>
      </c>
      <c r="F41" s="82" t="s">
        <v>1368</v>
      </c>
    </row>
    <row r="42" spans="1:8" ht="30" customHeight="1" x14ac:dyDescent="0.25">
      <c r="A42" s="80" t="s">
        <v>1369</v>
      </c>
      <c r="B42" s="80" t="s">
        <v>13</v>
      </c>
      <c r="C42" s="43" t="s">
        <v>1370</v>
      </c>
      <c r="D42" s="43" t="s">
        <v>1371</v>
      </c>
      <c r="E42" s="81">
        <v>2645000</v>
      </c>
      <c r="F42" s="82" t="s">
        <v>1372</v>
      </c>
    </row>
    <row r="43" spans="1:8" ht="30" customHeight="1" x14ac:dyDescent="0.25">
      <c r="A43" s="80" t="s">
        <v>1373</v>
      </c>
      <c r="B43" s="80" t="s">
        <v>130</v>
      </c>
      <c r="C43" s="43" t="s">
        <v>1374</v>
      </c>
      <c r="D43" s="43" t="s">
        <v>1375</v>
      </c>
      <c r="E43" s="83" t="s">
        <v>1376</v>
      </c>
      <c r="F43" s="82" t="s">
        <v>1377</v>
      </c>
    </row>
    <row r="44" spans="1:8" ht="30" customHeight="1" x14ac:dyDescent="0.25">
      <c r="A44" s="80" t="s">
        <v>1373</v>
      </c>
      <c r="B44" s="80" t="s">
        <v>130</v>
      </c>
      <c r="C44" s="43" t="s">
        <v>1378</v>
      </c>
      <c r="D44" s="43" t="s">
        <v>1375</v>
      </c>
      <c r="E44" s="83" t="s">
        <v>1376</v>
      </c>
      <c r="F44" s="82" t="s">
        <v>1377</v>
      </c>
    </row>
    <row r="45" spans="1:8" ht="30" customHeight="1" x14ac:dyDescent="0.25">
      <c r="A45" s="84" t="s">
        <v>1379</v>
      </c>
      <c r="B45" s="84" t="s">
        <v>13</v>
      </c>
      <c r="C45" s="85" t="s">
        <v>1380</v>
      </c>
      <c r="D45" s="85" t="s">
        <v>1381</v>
      </c>
      <c r="E45" s="86" t="s">
        <v>1376</v>
      </c>
      <c r="F45" s="87" t="s">
        <v>1382</v>
      </c>
    </row>
    <row r="46" spans="1:8" ht="30" customHeight="1" x14ac:dyDescent="0.25">
      <c r="A46" s="84" t="s">
        <v>1379</v>
      </c>
      <c r="B46" s="84" t="s">
        <v>130</v>
      </c>
      <c r="C46" s="85" t="s">
        <v>1383</v>
      </c>
      <c r="D46" s="85" t="s">
        <v>1384</v>
      </c>
      <c r="E46" s="86" t="s">
        <v>1376</v>
      </c>
      <c r="F46" s="87" t="s">
        <v>1385</v>
      </c>
    </row>
    <row r="48" spans="1:8" ht="7.5" customHeight="1" x14ac:dyDescent="0.25"/>
    <row r="49" spans="1:8" ht="19.5" customHeight="1" x14ac:dyDescent="0.25">
      <c r="A49" s="91" t="s">
        <v>1386</v>
      </c>
      <c r="B49" s="91"/>
      <c r="C49" s="91"/>
      <c r="D49" s="91"/>
      <c r="E49" s="91"/>
      <c r="F49" s="91"/>
      <c r="G49" s="91"/>
      <c r="H49" s="91"/>
    </row>
  </sheetData>
  <mergeCells count="10">
    <mergeCell ref="A24:D24"/>
    <mergeCell ref="A27:H27"/>
    <mergeCell ref="A36:C36"/>
    <mergeCell ref="A39:H39"/>
    <mergeCell ref="A49:H49"/>
    <mergeCell ref="A1:H1"/>
    <mergeCell ref="A2:H2"/>
    <mergeCell ref="A4:H4"/>
    <mergeCell ref="A10:B10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BPU_LOCAL</vt:lpstr>
      <vt:lpstr>METRE</vt:lpstr>
      <vt:lpstr>RECAP_LOTS</vt:lpstr>
      <vt:lpstr>ANALYSE_SPATIALE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paterne gankama</cp:lastModifiedBy>
  <cp:revision>0</cp:revision>
  <dcterms:created xsi:type="dcterms:W3CDTF">2026-02-24T22:30:55Z</dcterms:created>
  <dcterms:modified xsi:type="dcterms:W3CDTF">2026-02-25T09:31:35Z</dcterms:modified>
  <dc:language>en-US</dc:language>
</cp:coreProperties>
</file>